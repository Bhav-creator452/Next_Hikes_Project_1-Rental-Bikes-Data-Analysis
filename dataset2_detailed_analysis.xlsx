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d.docs.live.net/F9BC852DAD3BE5BD/Documents/"/>
    </mc:Choice>
  </mc:AlternateContent>
  <xr:revisionPtr revIDLastSave="0" documentId="8_{195C41FF-6D25-4777-9573-C451C58DC8A2}" xr6:coauthVersionLast="47" xr6:coauthVersionMax="47" xr10:uidLastSave="{00000000-0000-0000-0000-000000000000}"/>
  <bookViews>
    <workbookView xWindow="-108" yWindow="-108" windowWidth="23256" windowHeight="12456" xr2:uid="{00000000-000D-0000-FFFF-FFFF00000000}"/>
  </bookViews>
  <sheets>
    <sheet name="Dataset2_Detailed_Analysis" sheetId="3" r:id="rId1"/>
  </sheets>
  <calcPr calcId="191028"/>
  <pivotCaches>
    <pivotCache cacheId="1011"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rltirriGylH92jq7eCuocbnphY6ibIB2zqDYDnsve4w="/>
    </ext>
  </extLst>
</workbook>
</file>

<file path=xl/sharedStrings.xml><?xml version="1.0" encoding="utf-8"?>
<sst xmlns="http://schemas.openxmlformats.org/spreadsheetml/2006/main" count="23" uniqueCount="16">
  <si>
    <r>
      <rPr>
        <sz val="11"/>
        <color rgb="FF000000"/>
        <rFont val="Calibri"/>
        <scheme val="minor"/>
      </rPr>
      <t xml:space="preserve">              </t>
    </r>
    <r>
      <rPr>
        <sz val="24"/>
        <color rgb="FF000000"/>
        <rFont val="Arial Black"/>
      </rPr>
      <t xml:space="preserve"> </t>
    </r>
    <r>
      <rPr>
        <u/>
        <sz val="20"/>
        <color rgb="FF000000"/>
        <rFont val="Arial Black"/>
      </rPr>
      <t xml:space="preserve"> Bike Sharing Demand Analysis
</t>
    </r>
    <r>
      <rPr>
        <sz val="20"/>
        <color rgb="FF000000"/>
        <rFont val="Arial Black"/>
      </rPr>
      <t xml:space="preserve">             Dataset 2 – User Behavior &amp; Weather Analysis</t>
    </r>
  </si>
  <si>
    <t>Casual vs Registered Users</t>
  </si>
  <si>
    <t>Bike Rentals by Humidity level</t>
  </si>
  <si>
    <t>Sum of casual</t>
  </si>
  <si>
    <t>Sum of registered</t>
  </si>
  <si>
    <t>humidity range</t>
  </si>
  <si>
    <t>Average of cnt</t>
  </si>
  <si>
    <t>Low</t>
  </si>
  <si>
    <t>Moderate</t>
  </si>
  <si>
    <t>High</t>
  </si>
  <si>
    <t>Very High</t>
  </si>
  <si>
    <t>Grand Total</t>
  </si>
  <si>
    <t>User Composition</t>
  </si>
  <si>
    <t>Bike Rentals by Assumed Temperature</t>
  </si>
  <si>
    <t>atemp range</t>
  </si>
  <si>
    <t>Very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</si>
</sst>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scheme val="minor"/>
    </font>
    <font>
      <sz val="11"/>
      <color theme="0"/>
      <name val="Calibri"/>
      <scheme val="minor"/>
    </font>
    <font>
      <sz val="20"/>
      <color theme="0"/>
      <name val="Arial Black"/>
    </font>
    <font>
      <sz val="20"/>
      <color rgb="FF000000"/>
      <name val="Arial Black"/>
    </font>
    <font>
      <sz val="11"/>
      <color rgb="FF000000"/>
      <name val="Calibri"/>
      <scheme val="minor"/>
    </font>
    <font>
      <sz val="24"/>
      <color rgb="FF000000"/>
      <name val="Arial Black"/>
    </font>
    <font>
      <u/>
      <sz val="20"/>
      <color rgb="FF000000"/>
      <name val="Arial Black"/>
    </font>
  </fonts>
  <fills count="6">
    <fill>
      <patternFill patternType="none"/>
    </fill>
    <fill>
      <patternFill patternType="gray125"/>
    </fill>
    <fill>
      <patternFill patternType="solid">
        <fgColor theme="6" tint="-0.499984740745262"/>
        <bgColor indexed="64"/>
      </patternFill>
    </fill>
    <fill>
      <patternFill patternType="solid">
        <fgColor rgb="FF404040"/>
        <bgColor indexed="64"/>
      </patternFill>
    </fill>
    <fill>
      <patternFill patternType="solid">
        <fgColor theme="9" tint="-0.499984740745262"/>
        <bgColor indexed="64"/>
      </patternFill>
    </fill>
    <fill>
      <patternFill patternType="solid">
        <fgColor theme="5" tint="-0.499984740745262"/>
        <bgColor indexed="64"/>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0" fillId="0" borderId="7" xfId="0" applyBorder="1"/>
    <xf numFmtId="0" fontId="0" fillId="0" borderId="8" xfId="0" pivotButton="1" applyBorder="1"/>
    <xf numFmtId="0" fontId="0" fillId="0" borderId="8" xfId="0" applyBorder="1"/>
    <xf numFmtId="2" fontId="0" fillId="0" borderId="8" xfId="0" applyNumberFormat="1" applyBorder="1"/>
    <xf numFmtId="164" fontId="0" fillId="0" borderId="8" xfId="0" applyNumberFormat="1" applyBorder="1"/>
    <xf numFmtId="0" fontId="2" fillId="2" borderId="1" xfId="0" applyFont="1" applyFill="1" applyBorder="1" applyAlignment="1">
      <alignment horizontal="left"/>
    </xf>
    <xf numFmtId="0" fontId="1" fillId="2" borderId="2" xfId="0" applyFont="1" applyFill="1" applyBorder="1" applyAlignment="1">
      <alignment horizontal="left"/>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1" fillId="2" borderId="6" xfId="0" applyFont="1" applyFill="1" applyBorder="1" applyAlignment="1">
      <alignment horizontal="left"/>
    </xf>
    <xf numFmtId="0" fontId="2" fillId="3" borderId="1" xfId="0" applyFont="1" applyFill="1" applyBorder="1" applyAlignment="1">
      <alignment horizontal="left"/>
    </xf>
    <xf numFmtId="0" fontId="1" fillId="3" borderId="2" xfId="0" applyFont="1" applyFill="1" applyBorder="1" applyAlignment="1">
      <alignment horizontal="left"/>
    </xf>
    <xf numFmtId="0" fontId="1" fillId="3" borderId="3" xfId="0" applyFont="1" applyFill="1" applyBorder="1" applyAlignment="1">
      <alignment horizontal="left"/>
    </xf>
    <xf numFmtId="0" fontId="1" fillId="3" borderId="4" xfId="0" applyFont="1" applyFill="1" applyBorder="1" applyAlignment="1">
      <alignment horizontal="left"/>
    </xf>
    <xf numFmtId="0" fontId="1" fillId="3" borderId="5" xfId="0" applyFont="1" applyFill="1" applyBorder="1" applyAlignment="1">
      <alignment horizontal="left"/>
    </xf>
    <xf numFmtId="0" fontId="1" fillId="3" borderId="6" xfId="0" applyFont="1" applyFill="1" applyBorder="1" applyAlignment="1">
      <alignment horizontal="left"/>
    </xf>
    <xf numFmtId="0" fontId="2" fillId="4" borderId="1" xfId="0" applyFont="1" applyFill="1" applyBorder="1" applyAlignment="1">
      <alignment horizontal="left"/>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1" fillId="4" borderId="5" xfId="0" applyFont="1" applyFill="1" applyBorder="1" applyAlignment="1">
      <alignment horizontal="left"/>
    </xf>
    <xf numFmtId="0" fontId="1" fillId="4" borderId="6" xfId="0" applyFont="1" applyFill="1" applyBorder="1" applyAlignment="1">
      <alignment horizontal="left"/>
    </xf>
    <xf numFmtId="0" fontId="2" fillId="5" borderId="1" xfId="0" applyFont="1" applyFill="1" applyBorder="1" applyAlignment="1">
      <alignment horizontal="left"/>
    </xf>
    <xf numFmtId="0" fontId="1" fillId="5" borderId="2" xfId="0" applyFont="1" applyFill="1" applyBorder="1" applyAlignment="1">
      <alignment horizontal="left"/>
    </xf>
    <xf numFmtId="0" fontId="1" fillId="5" borderId="3" xfId="0" applyFont="1" applyFill="1" applyBorder="1" applyAlignment="1">
      <alignment horizontal="left"/>
    </xf>
    <xf numFmtId="0" fontId="1" fillId="5" borderId="4" xfId="0" applyFont="1" applyFill="1" applyBorder="1" applyAlignment="1">
      <alignment horizontal="left"/>
    </xf>
    <xf numFmtId="0" fontId="1" fillId="5" borderId="5" xfId="0" applyFont="1" applyFill="1" applyBorder="1" applyAlignment="1">
      <alignment horizontal="left"/>
    </xf>
    <xf numFmtId="0" fontId="1" fillId="5" borderId="6" xfId="0" applyFont="1" applyFill="1" applyBorder="1" applyAlignment="1">
      <alignment horizontal="left"/>
    </xf>
    <xf numFmtId="0" fontId="4" fillId="0" borderId="0" xfId="0" applyFont="1" applyAlignment="1">
      <alignment horizontal="center" wrapText="1"/>
    </xf>
    <xf numFmtId="0" fontId="0" fillId="0" borderId="0" xfId="0" applyAlignment="1">
      <alignment horizontal="center"/>
    </xf>
  </cellXfs>
  <cellStyles count="1">
    <cellStyle name="Normal" xfId="0" builtinId="0"/>
  </cellStyles>
  <dxfs count="22">
    <dxf>
      <numFmt numFmtId="2" formatCode="0.0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164" formatCode="0.0"/>
    </dxf>
    <dxf>
      <numFmt numFmtId="2" formatCode="0.00"/>
    </dxf>
    <dxf>
      <numFmt numFmtId="2" formatCode="0.0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D5DACB"/>
      <color rgb="FF404040"/>
      <color rgb="FFBFD39D"/>
      <color rgb="FF4C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[dataset_2.xlsx]Dataset2_Detailed_Analysis!PivotTable1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Casual vs Registered Bike Rentals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4F62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93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Dataset2_Detailed_Analysis!$A$10</c:f>
              <c:strCache>
                <c:ptCount val="1"/>
                <c:pt idx="0">
                  <c:v>Sum of casual</c:v>
                </c:pt>
              </c:strCache>
            </c:strRef>
          </c:tx>
          <c:spPr>
            <a:solidFill>
              <a:srgbClr val="4F6228"/>
            </a:solidFill>
            <a:ln>
              <a:noFill/>
            </a:ln>
            <a:effectLst/>
          </c:spPr>
          <c:invertIfNegative val="0"/>
          <c:cat>
            <c:strRef>
              <c:f>Dataset2_Detailed_Analysis!$A$11</c:f>
              <c:strCache>
                <c:ptCount val="1"/>
                <c:pt idx="0">
                  <c:v>Total</c:v>
                </c:pt>
              </c:strCache>
            </c:strRef>
          </c:cat>
          <c:val>
            <c:numRef>
              <c:f>Dataset2_Detailed_Analysis!$A$11</c:f>
              <c:numCache>
                <c:formatCode>General</c:formatCode>
                <c:ptCount val="1"/>
                <c:pt idx="0">
                  <c:v>2746</c:v>
                </c:pt>
              </c:numCache>
            </c:numRef>
          </c:val>
          <c:extLst>
            <c:ext xmlns:c16="http://schemas.microsoft.com/office/drawing/2014/chart" uri="{C3380CC4-5D6E-409C-BE32-E72D297353CC}">
              <c16:uniqueId val="{00000000-2F0B-42B1-BA39-6F62D9558231}"/>
            </c:ext>
          </c:extLst>
        </c:ser>
        <c:ser>
          <c:idx val="1"/>
          <c:order val="1"/>
          <c:tx>
            <c:strRef>
              <c:f>Dataset2_Detailed_Analysis!$B$10</c:f>
              <c:strCache>
                <c:ptCount val="1"/>
                <c:pt idx="0">
                  <c:v>Sum of registered</c:v>
                </c:pt>
              </c:strCache>
            </c:strRef>
          </c:tx>
          <c:spPr>
            <a:solidFill>
              <a:srgbClr val="76933C"/>
            </a:solidFill>
            <a:ln>
              <a:noFill/>
            </a:ln>
            <a:effectLst/>
          </c:spPr>
          <c:invertIfNegative val="0"/>
          <c:cat>
            <c:strRef>
              <c:f>Dataset2_Detailed_Analysis!$A$11</c:f>
              <c:strCache>
                <c:ptCount val="1"/>
                <c:pt idx="0">
                  <c:v>Total</c:v>
                </c:pt>
              </c:strCache>
            </c:strRef>
          </c:cat>
          <c:val>
            <c:numRef>
              <c:f>Dataset2_Detailed_Analysis!$B$11</c:f>
              <c:numCache>
                <c:formatCode>General</c:formatCode>
                <c:ptCount val="1"/>
                <c:pt idx="0">
                  <c:v>31152</c:v>
                </c:pt>
              </c:numCache>
            </c:numRef>
          </c:val>
          <c:extLst>
            <c:ext xmlns:c16="http://schemas.microsoft.com/office/drawing/2014/chart" uri="{C3380CC4-5D6E-409C-BE32-E72D297353CC}">
              <c16:uniqueId val="{00000002-2F0B-42B1-BA39-6F62D9558231}"/>
            </c:ext>
          </c:extLst>
        </c:ser>
        <c:dLbls>
          <c:showLegendKey val="0"/>
          <c:showVal val="0"/>
          <c:showCatName val="0"/>
          <c:showSerName val="0"/>
          <c:showPercent val="0"/>
          <c:showBubbleSize val="0"/>
        </c:dLbls>
        <c:gapWidth val="219"/>
        <c:overlap val="-27"/>
        <c:axId val="1803672072"/>
        <c:axId val="1767772679"/>
      </c:barChart>
      <c:catAx>
        <c:axId val="1803672072"/>
        <c:scaling>
          <c:orientation val="minMax"/>
        </c:scaling>
        <c:delete val="1"/>
        <c:axPos val="b"/>
        <c:numFmt formatCode="General" sourceLinked="1"/>
        <c:majorTickMark val="none"/>
        <c:minorTickMark val="none"/>
        <c:tickLblPos val="nextTo"/>
        <c:crossAx val="1767772679"/>
        <c:crosses val="autoZero"/>
        <c:auto val="1"/>
        <c:lblAlgn val="ctr"/>
        <c:lblOffset val="100"/>
        <c:noMultiLvlLbl val="0"/>
      </c:catAx>
      <c:valAx>
        <c:axId val="1767772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72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[dataset_2.xlsx]Dataset2_Detailed_Analysis!PivotTable3</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Average Bike Rentals by Assumed Temperature</a:t>
            </a:r>
          </a:p>
        </c:rich>
      </c:tx>
      <c:layout>
        <c:manualLayout>
          <c:xMode val="edge"/>
          <c:yMode val="edge"/>
          <c:x val="0.20481159420289854"/>
          <c:y val="5.107916962328574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4C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Dataset2_Detailed_Analysis!$B$33</c:f>
              <c:strCache>
                <c:ptCount val="1"/>
                <c:pt idx="0">
                  <c:v>Total</c:v>
                </c:pt>
              </c:strCache>
            </c:strRef>
          </c:tx>
          <c:spPr>
            <a:solidFill>
              <a:srgbClr val="4C4C4C"/>
            </a:solidFill>
            <a:ln>
              <a:noFill/>
            </a:ln>
            <a:effectLst/>
          </c:spPr>
          <c:invertIfNegative val="0"/>
          <c:cat>
            <c:strRef>
              <c:f>Dataset2_Detailed_Analysis!$A$34:$A$38</c:f>
              <c:strCache>
                <c:ptCount val="4"/>
                <c:pt idx="0">
                  <c:v>Very Low</c:v>
                </c:pt>
                <c:pt idx="1">
                  <c:v>Low</c:v>
                </c:pt>
                <c:pt idx="2">
                  <c:v>Moderate</c:v>
                </c:pt>
                <c:pt idx="3">
                  <c:v>High</c:v>
                </c:pt>
              </c:strCache>
            </c:strRef>
          </c:cat>
          <c:val>
            <c:numRef>
              <c:f>Dataset2_Detailed_Analysis!$B$34:$B$38</c:f>
              <c:numCache>
                <c:formatCode>0.0</c:formatCode>
                <c:ptCount val="4"/>
                <c:pt idx="0" formatCode="0.00">
                  <c:v>48.274336283185839</c:v>
                </c:pt>
                <c:pt idx="1">
                  <c:v>62.032710280373834</c:v>
                </c:pt>
                <c:pt idx="2" formatCode="0.00">
                  <c:v>89.351351351351354</c:v>
                </c:pt>
                <c:pt idx="3" formatCode="General">
                  <c:v>47.6</c:v>
                </c:pt>
              </c:numCache>
            </c:numRef>
          </c:val>
          <c:extLst>
            <c:ext xmlns:c16="http://schemas.microsoft.com/office/drawing/2014/chart" uri="{C3380CC4-5D6E-409C-BE32-E72D297353CC}">
              <c16:uniqueId val="{00000000-A98D-4802-AD04-0A1E12DC37E9}"/>
            </c:ext>
          </c:extLst>
        </c:ser>
        <c:dLbls>
          <c:showLegendKey val="0"/>
          <c:showVal val="0"/>
          <c:showCatName val="0"/>
          <c:showSerName val="0"/>
          <c:showPercent val="0"/>
          <c:showBubbleSize val="0"/>
        </c:dLbls>
        <c:gapWidth val="219"/>
        <c:overlap val="-27"/>
        <c:axId val="867608071"/>
        <c:axId val="867610119"/>
      </c:barChart>
      <c:catAx>
        <c:axId val="867608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10119"/>
        <c:crosses val="autoZero"/>
        <c:auto val="1"/>
        <c:lblAlgn val="ctr"/>
        <c:lblOffset val="100"/>
        <c:noMultiLvlLbl val="0"/>
      </c:catAx>
      <c:valAx>
        <c:axId val="8676101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08071"/>
        <c:crosses val="autoZero"/>
        <c:crossBetween val="between"/>
      </c:valAx>
      <c:spPr>
        <a:noFill/>
        <a:ln>
          <a:noFill/>
        </a:ln>
        <a:effectLst/>
      </c:spPr>
    </c:plotArea>
    <c:plotVisOnly val="1"/>
    <c:dispBlanksAs val="gap"/>
    <c:showDLblsOverMax val="0"/>
  </c:chart>
  <c:spPr>
    <a:solidFill>
      <a:srgbClr val="FFFFFF"/>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[dataset_2.xlsx]Dataset2_Detailed_Analysis!PivotTable5</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Average Bike Rentals by Humidity Level</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ln w="28575" cap="rnd">
            <a:solidFill>
              <a:srgbClr val="974706"/>
            </a:solidFill>
            <a:prstDash val="solid"/>
            <a:round/>
          </a:ln>
          <a:effectLst/>
        </c:spPr>
        <c:marker>
          <c:symbol val="circle"/>
          <c:size val="5"/>
          <c:spPr>
            <a:solidFill>
              <a:srgbClr val="0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Dataset2_Detailed_Analysis!$AC$10</c:f>
              <c:strCache>
                <c:ptCount val="1"/>
                <c:pt idx="0">
                  <c:v>Total</c:v>
                </c:pt>
              </c:strCache>
            </c:strRef>
          </c:tx>
          <c:spPr>
            <a:ln w="28575" cap="rnd">
              <a:solidFill>
                <a:srgbClr val="974706"/>
              </a:solidFill>
              <a:prstDash val="solid"/>
              <a:round/>
            </a:ln>
            <a:effectLst/>
          </c:spPr>
          <c:marker>
            <c:symbol val="circle"/>
            <c:size val="5"/>
            <c:spPr>
              <a:solidFill>
                <a:srgbClr val="000000"/>
              </a:solidFill>
              <a:ln w="9525">
                <a:solidFill>
                  <a:schemeClr val="accent1"/>
                </a:solidFill>
              </a:ln>
              <a:effectLst/>
            </c:spPr>
          </c:marker>
          <c:cat>
            <c:strRef>
              <c:f>Dataset2_Detailed_Analysis!$AB$11:$AB$15</c:f>
              <c:strCache>
                <c:ptCount val="4"/>
                <c:pt idx="0">
                  <c:v>Low</c:v>
                </c:pt>
                <c:pt idx="1">
                  <c:v>Moderate</c:v>
                </c:pt>
                <c:pt idx="2">
                  <c:v>High</c:v>
                </c:pt>
                <c:pt idx="3">
                  <c:v>Very High</c:v>
                </c:pt>
              </c:strCache>
            </c:strRef>
          </c:cat>
          <c:val>
            <c:numRef>
              <c:f>Dataset2_Detailed_Analysis!$AC$11:$AC$15</c:f>
              <c:numCache>
                <c:formatCode>0.00</c:formatCode>
                <c:ptCount val="4"/>
                <c:pt idx="0">
                  <c:v>78.925531914893611</c:v>
                </c:pt>
                <c:pt idx="1">
                  <c:v>57.598101265822784</c:v>
                </c:pt>
                <c:pt idx="2">
                  <c:v>42.22429906542056</c:v>
                </c:pt>
                <c:pt idx="3">
                  <c:v>40.43010752688172</c:v>
                </c:pt>
              </c:numCache>
            </c:numRef>
          </c:val>
          <c:smooth val="0"/>
          <c:extLst>
            <c:ext xmlns:c16="http://schemas.microsoft.com/office/drawing/2014/chart" uri="{C3380CC4-5D6E-409C-BE32-E72D297353CC}">
              <c16:uniqueId val="{00000000-0265-4B0C-BE52-A8AB7527A4E1}"/>
            </c:ext>
          </c:extLst>
        </c:ser>
        <c:dLbls>
          <c:showLegendKey val="0"/>
          <c:showVal val="0"/>
          <c:showCatName val="0"/>
          <c:showSerName val="0"/>
          <c:showPercent val="0"/>
          <c:showBubbleSize val="0"/>
        </c:dLbls>
        <c:marker val="1"/>
        <c:smooth val="0"/>
        <c:axId val="891066375"/>
        <c:axId val="1904688135"/>
      </c:lineChart>
      <c:catAx>
        <c:axId val="891066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88135"/>
        <c:crosses val="autoZero"/>
        <c:auto val="1"/>
        <c:lblAlgn val="ctr"/>
        <c:lblOffset val="100"/>
        <c:noMultiLvlLbl val="0"/>
      </c:catAx>
      <c:valAx>
        <c:axId val="1904688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66375"/>
        <c:crosses val="autoZero"/>
        <c:crossBetween val="between"/>
      </c:valAx>
      <c:spPr>
        <a:noFill/>
        <a:ln>
          <a:noFill/>
        </a:ln>
        <a:effectLst/>
      </c:spPr>
    </c:plotArea>
    <c:plotVisOnly val="1"/>
    <c:dispBlanksAs val="gap"/>
    <c:showDLblsOverMax val="0"/>
  </c:chart>
  <c:spPr>
    <a:solidFill>
      <a:srgbClr val="FFFFFF"/>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[dataset_2.xlsx]Dataset2_Detailed_Analysis!PivotTable2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Bike Rental User Composition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963634"/>
          </a:solidFill>
          <a:ln w="19050">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Aptos Narrow"/>
                  <a:ea typeface="Aptos Narrow"/>
                  <a:cs typeface="Aptos Narrow"/>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1"/>
          </a:solidFill>
          <a:ln w="19050">
            <a:solidFill>
              <a:srgbClr val="DA969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DA9694"/>
          </a:solidFill>
          <a:ln w="19050">
            <a:solidFill>
              <a:srgbClr val="000000"/>
            </a:solidFill>
            <a:prstDash val="solid"/>
          </a:ln>
          <a:effectLst/>
        </c:spPr>
      </c:pivotFmt>
      <c:pivotFmt>
        <c:idx val="3"/>
        <c:spPr>
          <a:solidFill>
            <a:srgbClr val="963634"/>
          </a:solidFill>
          <a:ln w="19050">
            <a:solidFill>
              <a:srgbClr val="000000"/>
            </a:solidFill>
            <a:prstDash val="solid"/>
          </a:ln>
          <a:effectLst/>
        </c:spPr>
        <c:dLbl>
          <c:idx val="0"/>
          <c:layout>
            <c:manualLayout>
              <c:x val="3.6184555877884972E-3"/>
              <c:y val="-2.07194279964953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Aptos Narrow"/>
                  <a:ea typeface="Aptos Narrow"/>
                  <a:cs typeface="Aptos Narrow"/>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s>
    <c:plotArea>
      <c:layout/>
      <c:doughnutChart>
        <c:varyColors val="1"/>
        <c:ser>
          <c:idx val="0"/>
          <c:order val="0"/>
          <c:tx>
            <c:strRef>
              <c:f>Dataset2_Detailed_Analysis!$AB$32</c:f>
              <c:strCache>
                <c:ptCount val="1"/>
                <c:pt idx="0">
                  <c:v>Sum of registered</c:v>
                </c:pt>
              </c:strCache>
            </c:strRef>
          </c:tx>
          <c:spPr>
            <a:solidFill>
              <a:srgbClr val="963634"/>
            </a:solidFill>
            <a:ln>
              <a:solidFill>
                <a:srgbClr val="000000"/>
              </a:solidFill>
              <a:prstDash val="solid"/>
            </a:ln>
          </c:spPr>
          <c:dPt>
            <c:idx val="0"/>
            <c:bubble3D val="0"/>
            <c:spPr>
              <a:solidFill>
                <a:srgbClr val="963634"/>
              </a:solidFill>
              <a:ln w="19050">
                <a:solidFill>
                  <a:srgbClr val="000000"/>
                </a:solidFill>
                <a:prstDash val="solid"/>
              </a:ln>
              <a:effectLst/>
            </c:spPr>
            <c:extLst>
              <c:ext xmlns:c16="http://schemas.microsoft.com/office/drawing/2014/chart" uri="{C3380CC4-5D6E-409C-BE32-E72D297353CC}">
                <c16:uniqueId val="{00000006-1720-4CFA-A7BB-3C9CB42DD01D}"/>
              </c:ext>
            </c:extLst>
          </c:dPt>
          <c:dLbls>
            <c:dLbl>
              <c:idx val="0"/>
              <c:layout>
                <c:manualLayout>
                  <c:x val="3.6184555877884972E-3"/>
                  <c:y val="-2.071942799649532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1720-4CFA-A7BB-3C9CB42DD01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Aptos Narrow"/>
                    <a:ea typeface="Aptos Narrow"/>
                    <a:cs typeface="Aptos Narrow"/>
                  </a:defRPr>
                </a:pPr>
                <a:endParaRPr lang="en-US"/>
              </a:p>
            </c:txPr>
            <c:showLegendKey val="0"/>
            <c:showVal val="0"/>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Dataset2_Detailed_Analysis!$AB$33</c:f>
              <c:strCache>
                <c:ptCount val="1"/>
                <c:pt idx="0">
                  <c:v>Total</c:v>
                </c:pt>
              </c:strCache>
            </c:strRef>
          </c:cat>
          <c:val>
            <c:numRef>
              <c:f>Dataset2_Detailed_Analysis!$AB$33</c:f>
              <c:numCache>
                <c:formatCode>General</c:formatCode>
                <c:ptCount val="1"/>
                <c:pt idx="0">
                  <c:v>31152</c:v>
                </c:pt>
              </c:numCache>
            </c:numRef>
          </c:val>
          <c:extLst>
            <c:ext xmlns:c16="http://schemas.microsoft.com/office/drawing/2014/chart" uri="{C3380CC4-5D6E-409C-BE32-E72D297353CC}">
              <c16:uniqueId val="{00000000-1720-4CFA-A7BB-3C9CB42DD01D}"/>
            </c:ext>
          </c:extLst>
        </c:ser>
        <c:ser>
          <c:idx val="1"/>
          <c:order val="1"/>
          <c:tx>
            <c:strRef>
              <c:f>Dataset2_Detailed_Analysis!$AC$32</c:f>
              <c:strCache>
                <c:ptCount val="1"/>
                <c:pt idx="0">
                  <c:v>Sum of casual</c:v>
                </c:pt>
              </c:strCache>
            </c:strRef>
          </c:tx>
          <c:spPr>
            <a:ln>
              <a:solidFill>
                <a:srgbClr val="DA9694"/>
              </a:solidFill>
              <a:prstDash val="solid"/>
            </a:ln>
          </c:spPr>
          <c:dPt>
            <c:idx val="0"/>
            <c:bubble3D val="0"/>
            <c:spPr>
              <a:solidFill>
                <a:srgbClr val="DA9694"/>
              </a:solidFill>
              <a:ln w="19050">
                <a:solidFill>
                  <a:srgbClr val="000000"/>
                </a:solidFill>
                <a:prstDash val="solid"/>
              </a:ln>
              <a:effectLst/>
            </c:spPr>
            <c:extLst>
              <c:ext xmlns:c16="http://schemas.microsoft.com/office/drawing/2014/chart" uri="{C3380CC4-5D6E-409C-BE32-E72D297353CC}">
                <c16:uniqueId val="{00000005-1720-4CFA-A7BB-3C9CB42DD0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Dataset2_Detailed_Analysis!$AB$33</c:f>
              <c:strCache>
                <c:ptCount val="1"/>
                <c:pt idx="0">
                  <c:v>Total</c:v>
                </c:pt>
              </c:strCache>
            </c:strRef>
          </c:cat>
          <c:val>
            <c:numRef>
              <c:f>Dataset2_Detailed_Analysis!$AC$33</c:f>
              <c:numCache>
                <c:formatCode>General</c:formatCode>
                <c:ptCount val="1"/>
                <c:pt idx="0">
                  <c:v>2746</c:v>
                </c:pt>
              </c:numCache>
            </c:numRef>
          </c:val>
          <c:extLst>
            <c:ext xmlns:c16="http://schemas.microsoft.com/office/drawing/2014/chart" uri="{C3380CC4-5D6E-409C-BE32-E72D297353CC}">
              <c16:uniqueId val="{00000002-1720-4CFA-A7BB-3C9CB42DD01D}"/>
            </c:ext>
          </c:extLst>
        </c:ser>
        <c:dLbls>
          <c:showLegendKey val="0"/>
          <c:showVal val="0"/>
          <c:showCatName val="0"/>
          <c:showSerName val="0"/>
          <c:showPercent val="0"/>
          <c:showBubbleSize val="0"/>
          <c:showLeaderLines val="1"/>
        </c:dLbls>
        <c:firstSliceAng val="0"/>
        <c:holeSize val="46"/>
      </c:doughnutChart>
      <c:spPr>
        <a:noFill/>
        <a:ln>
          <a:noFill/>
        </a:ln>
        <a:effectLst/>
      </c:spPr>
    </c:plotArea>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419100</xdr:colOff>
      <xdr:row>8</xdr:row>
      <xdr:rowOff>180975</xdr:rowOff>
    </xdr:from>
    <xdr:to>
      <xdr:col>19</xdr:col>
      <xdr:colOff>361950</xdr:colOff>
      <xdr:row>23</xdr:row>
      <xdr:rowOff>38100</xdr:rowOff>
    </xdr:to>
    <xdr:graphicFrame macro="">
      <xdr:nvGraphicFramePr>
        <xdr:cNvPr id="2" name="Chart 1">
          <a:extLst>
            <a:ext uri="{FF2B5EF4-FFF2-40B4-BE49-F238E27FC236}">
              <a16:creationId xmlns:a16="http://schemas.microsoft.com/office/drawing/2014/main" id="{87AF7A2B-C9B9-6D96-238B-80BA8C3C7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123825</xdr:rowOff>
    </xdr:from>
    <xdr:to>
      <xdr:col>1</xdr:col>
      <xdr:colOff>1123950</xdr:colOff>
      <xdr:row>22</xdr:row>
      <xdr:rowOff>161925</xdr:rowOff>
    </xdr:to>
    <xdr:sp macro="" textlink="">
      <xdr:nvSpPr>
        <xdr:cNvPr id="3" name="TextBox 2">
          <a:extLst>
            <a:ext uri="{FF2B5EF4-FFF2-40B4-BE49-F238E27FC236}">
              <a16:creationId xmlns:a16="http://schemas.microsoft.com/office/drawing/2014/main" id="{BDCD3D2F-03FC-E37F-5DDB-C0F4D2D50E41}"/>
            </a:ext>
            <a:ext uri="{147F2762-F138-4A5C-976F-8EAC2B608ADB}">
              <a16:predDERef xmlns:a16="http://schemas.microsoft.com/office/drawing/2014/main" pred="{87AF7A2B-C9B9-6D96-238B-80BA8C3C7D2A}"/>
            </a:ext>
          </a:extLst>
        </xdr:cNvPr>
        <xdr:cNvSpPr txBox="1"/>
      </xdr:nvSpPr>
      <xdr:spPr>
        <a:xfrm>
          <a:off x="9525" y="1457325"/>
          <a:ext cx="2019300" cy="1943100"/>
        </a:xfrm>
        <a:prstGeom prst="rect">
          <a:avLst/>
        </a:prstGeom>
        <a:ln>
          <a:solidFill>
            <a:schemeClr val="tx1"/>
          </a:solidFill>
        </a:ln>
      </xdr:spPr>
      <xdr:style>
        <a:lnRef idx="1">
          <a:schemeClr val="accent3"/>
        </a:lnRef>
        <a:fillRef idx="2">
          <a:schemeClr val="accent3"/>
        </a:fillRef>
        <a:effectRef idx="1">
          <a:schemeClr val="accent3"/>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0" i="0">
              <a:solidFill>
                <a:schemeClr val="dk1"/>
              </a:solidFill>
              <a:latin typeface="Arial" panose="020B0604020202020204" pitchFamily="34" charset="0"/>
              <a:cs typeface="Arial" panose="020B0604020202020204" pitchFamily="34" charset="0"/>
            </a:rPr>
            <a:t>🟢 </a:t>
          </a:r>
          <a:r>
            <a:rPr lang="en-US" sz="1100" b="1" i="0" u="sng">
              <a:solidFill>
                <a:schemeClr val="dk1"/>
              </a:solidFill>
              <a:latin typeface="Arial" panose="020B0604020202020204" pitchFamily="34" charset="0"/>
              <a:cs typeface="Arial" panose="020B0604020202020204" pitchFamily="34" charset="0"/>
            </a:rPr>
            <a:t>Key Insight</a:t>
          </a:r>
          <a:endParaRPr lang="en-US" sz="1100" b="0" i="0">
            <a:solidFill>
              <a:schemeClr val="dk1"/>
            </a:solidFill>
            <a:latin typeface="Arial" panose="020B0604020202020204" pitchFamily="34" charset="0"/>
            <a:cs typeface="Arial" panose="020B0604020202020204" pitchFamily="34" charset="0"/>
          </a:endParaRPr>
        </a:p>
        <a:p>
          <a:pPr marL="0" indent="0" algn="l"/>
          <a:r>
            <a:rPr lang="en-US" sz="1100" b="0" i="0">
              <a:solidFill>
                <a:schemeClr val="dk1"/>
              </a:solidFill>
              <a:latin typeface="Arial" panose="020B0604020202020204" pitchFamily="34" charset="0"/>
              <a:cs typeface="Arial" panose="020B0604020202020204" pitchFamily="34" charset="0"/>
            </a:rPr>
            <a:t>Registered users contributed 31,152 bike rentals, while casual users accounted for only 2,746 rentals. Registered users generated more than 11 times the number of rentals, indicating that they were the main drivers of bike-sharing demand during the observed period.</a:t>
          </a:r>
        </a:p>
      </xdr:txBody>
    </xdr:sp>
    <xdr:clientData/>
  </xdr:twoCellAnchor>
  <xdr:twoCellAnchor>
    <xdr:from>
      <xdr:col>2</xdr:col>
      <xdr:colOff>361950</xdr:colOff>
      <xdr:row>32</xdr:row>
      <xdr:rowOff>9525</xdr:rowOff>
    </xdr:from>
    <xdr:to>
      <xdr:col>20</xdr:col>
      <xdr:colOff>0</xdr:colOff>
      <xdr:row>46</xdr:row>
      <xdr:rowOff>180975</xdr:rowOff>
    </xdr:to>
    <xdr:graphicFrame macro="">
      <xdr:nvGraphicFramePr>
        <xdr:cNvPr id="4" name="Chart 3">
          <a:extLst>
            <a:ext uri="{FF2B5EF4-FFF2-40B4-BE49-F238E27FC236}">
              <a16:creationId xmlns:a16="http://schemas.microsoft.com/office/drawing/2014/main" id="{EE294580-6698-0C0E-F53C-BA13B863CEC6}"/>
            </a:ext>
            <a:ext uri="{147F2762-F138-4A5C-976F-8EAC2B608ADB}">
              <a16:predDERef xmlns:a16="http://schemas.microsoft.com/office/drawing/2014/main" pred="{BDCD3D2F-03FC-E37F-5DDB-C0F4D2D50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39</xdr:row>
      <xdr:rowOff>104775</xdr:rowOff>
    </xdr:from>
    <xdr:to>
      <xdr:col>2</xdr:col>
      <xdr:colOff>28575</xdr:colOff>
      <xdr:row>47</xdr:row>
      <xdr:rowOff>0</xdr:rowOff>
    </xdr:to>
    <xdr:sp macro="" textlink="">
      <xdr:nvSpPr>
        <xdr:cNvPr id="5" name="TextBox 4">
          <a:extLst>
            <a:ext uri="{FF2B5EF4-FFF2-40B4-BE49-F238E27FC236}">
              <a16:creationId xmlns:a16="http://schemas.microsoft.com/office/drawing/2014/main" id="{F5A98EE9-6057-9C8C-77C4-7C2FF14D1A52}"/>
            </a:ext>
            <a:ext uri="{147F2762-F138-4A5C-976F-8EAC2B608ADB}">
              <a16:predDERef xmlns:a16="http://schemas.microsoft.com/office/drawing/2014/main" pred="{EE294580-6698-0C0E-F53C-BA13B863CEC6}"/>
            </a:ext>
          </a:extLst>
        </xdr:cNvPr>
        <xdr:cNvSpPr txBox="1"/>
      </xdr:nvSpPr>
      <xdr:spPr>
        <a:xfrm>
          <a:off x="76200" y="5819775"/>
          <a:ext cx="2971800" cy="1419225"/>
        </a:xfrm>
        <a:prstGeom prst="rect">
          <a:avLst/>
        </a:prstGeom>
        <a:solidFill>
          <a:srgbClr val="D5DACB"/>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t>
          </a:r>
          <a:r>
            <a:rPr lang="en-US" sz="1100" b="1" u="sng">
              <a:latin typeface="+mn-lt"/>
              <a:ea typeface="+mn-lt"/>
              <a:cs typeface="+mn-lt"/>
            </a:rPr>
            <a:t> Key Insight</a:t>
          </a:r>
          <a:endParaRPr lang="en-US" sz="1100">
            <a:latin typeface="+mn-lt"/>
            <a:ea typeface="+mn-lt"/>
            <a:cs typeface="+mn-lt"/>
          </a:endParaRPr>
        </a:p>
        <a:p>
          <a:pPr marL="0" indent="0" algn="l"/>
          <a:r>
            <a:rPr lang="en-US" sz="1100">
              <a:latin typeface="+mn-lt"/>
              <a:ea typeface="+mn-lt"/>
              <a:cs typeface="+mn-lt"/>
            </a:rPr>
            <a:t>Average bike rentals increased as the Assumed temperature rose from very low to moderate, peaking at 89.35 rentals in the moderate temperature range. Rentals declined in the high temperature range, suggesting that moderate weather conditions were the most favorable for bike usage.</a:t>
          </a:r>
        </a:p>
      </xdr:txBody>
    </xdr:sp>
    <xdr:clientData/>
  </xdr:twoCellAnchor>
  <xdr:twoCellAnchor>
    <xdr:from>
      <xdr:col>26</xdr:col>
      <xdr:colOff>190500</xdr:colOff>
      <xdr:row>15</xdr:row>
      <xdr:rowOff>171450</xdr:rowOff>
    </xdr:from>
    <xdr:to>
      <xdr:col>29</xdr:col>
      <xdr:colOff>9525</xdr:colOff>
      <xdr:row>25</xdr:row>
      <xdr:rowOff>57150</xdr:rowOff>
    </xdr:to>
    <xdr:sp macro="" textlink="">
      <xdr:nvSpPr>
        <xdr:cNvPr id="7" name="TextBox 6">
          <a:extLst>
            <a:ext uri="{FF2B5EF4-FFF2-40B4-BE49-F238E27FC236}">
              <a16:creationId xmlns:a16="http://schemas.microsoft.com/office/drawing/2014/main" id="{41A19661-6232-D8D6-9602-0DC96D27D96D}"/>
            </a:ext>
            <a:ext uri="{147F2762-F138-4A5C-976F-8EAC2B608ADB}">
              <a16:predDERef xmlns:a16="http://schemas.microsoft.com/office/drawing/2014/main" pred="{F5A98EE9-6057-9C8C-77C4-7C2FF14D1A52}"/>
            </a:ext>
          </a:extLst>
        </xdr:cNvPr>
        <xdr:cNvSpPr txBox="1"/>
      </xdr:nvSpPr>
      <xdr:spPr>
        <a:xfrm>
          <a:off x="8153400" y="2076450"/>
          <a:ext cx="2076450" cy="1790700"/>
        </a:xfrm>
        <a:prstGeom prst="rect">
          <a:avLst/>
        </a:prstGeom>
        <a:solidFill>
          <a:schemeClr val="accent6">
            <a:lumMod val="40000"/>
            <a:lumOff val="6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t>
          </a:r>
          <a:r>
            <a:rPr lang="en-US" sz="1100" b="1" u="sng">
              <a:latin typeface="+mn-lt"/>
              <a:ea typeface="+mn-lt"/>
              <a:cs typeface="+mn-lt"/>
            </a:rPr>
            <a:t> Key Insight</a:t>
          </a:r>
          <a:endParaRPr lang="en-US" sz="1100">
            <a:latin typeface="+mn-lt"/>
            <a:ea typeface="+mn-lt"/>
            <a:cs typeface="+mn-lt"/>
          </a:endParaRPr>
        </a:p>
        <a:p>
          <a:pPr marL="0" indent="0" algn="l"/>
          <a:r>
            <a:rPr lang="en-US" sz="1100">
              <a:latin typeface="+mn-lt"/>
              <a:ea typeface="+mn-lt"/>
              <a:cs typeface="+mn-lt"/>
            </a:rPr>
            <a:t>Average bike rentals steadily declined as humidity increased. Low humidity recorded the highest average rentals (78.93), while very high humidity recorded the lowest (40.43), suggesting that drier weather conditions were more favorable for bike-sharing demand.</a:t>
          </a:r>
        </a:p>
      </xdr:txBody>
    </xdr:sp>
    <xdr:clientData/>
  </xdr:twoCellAnchor>
  <xdr:twoCellAnchor>
    <xdr:from>
      <xdr:col>29</xdr:col>
      <xdr:colOff>476250</xdr:colOff>
      <xdr:row>9</xdr:row>
      <xdr:rowOff>9525</xdr:rowOff>
    </xdr:from>
    <xdr:to>
      <xdr:col>36</xdr:col>
      <xdr:colOff>581025</xdr:colOff>
      <xdr:row>25</xdr:row>
      <xdr:rowOff>66675</xdr:rowOff>
    </xdr:to>
    <xdr:graphicFrame macro="">
      <xdr:nvGraphicFramePr>
        <xdr:cNvPr id="8" name="Chart 7">
          <a:extLst>
            <a:ext uri="{FF2B5EF4-FFF2-40B4-BE49-F238E27FC236}">
              <a16:creationId xmlns:a16="http://schemas.microsoft.com/office/drawing/2014/main" id="{944F2224-053B-C595-AC91-500319897883}"/>
            </a:ext>
            <a:ext uri="{147F2762-F138-4A5C-976F-8EAC2B608ADB}">
              <a16:predDERef xmlns:a16="http://schemas.microsoft.com/office/drawing/2014/main" pred="{41A19661-6232-D8D6-9602-0DC96D27D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495300</xdr:colOff>
      <xdr:row>30</xdr:row>
      <xdr:rowOff>114300</xdr:rowOff>
    </xdr:from>
    <xdr:to>
      <xdr:col>37</xdr:col>
      <xdr:colOff>19050</xdr:colOff>
      <xdr:row>45</xdr:row>
      <xdr:rowOff>0</xdr:rowOff>
    </xdr:to>
    <xdr:graphicFrame macro="">
      <xdr:nvGraphicFramePr>
        <xdr:cNvPr id="6" name="Chart 5">
          <a:extLst>
            <a:ext uri="{FF2B5EF4-FFF2-40B4-BE49-F238E27FC236}">
              <a16:creationId xmlns:a16="http://schemas.microsoft.com/office/drawing/2014/main" id="{657410D7-2686-D794-494A-1190EB515249}"/>
            </a:ext>
            <a:ext uri="{147F2762-F138-4A5C-976F-8EAC2B608ADB}">
              <a16:predDERef xmlns:a16="http://schemas.microsoft.com/office/drawing/2014/main" pred="{944F2224-053B-C595-AC91-500319897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38100</xdr:colOff>
      <xdr:row>33</xdr:row>
      <xdr:rowOff>152400</xdr:rowOff>
    </xdr:from>
    <xdr:to>
      <xdr:col>28</xdr:col>
      <xdr:colOff>876300</xdr:colOff>
      <xdr:row>42</xdr:row>
      <xdr:rowOff>76200</xdr:rowOff>
    </xdr:to>
    <xdr:sp macro="" textlink="">
      <xdr:nvSpPr>
        <xdr:cNvPr id="9" name="TextBox 8">
          <a:extLst>
            <a:ext uri="{FF2B5EF4-FFF2-40B4-BE49-F238E27FC236}">
              <a16:creationId xmlns:a16="http://schemas.microsoft.com/office/drawing/2014/main" id="{466BB1AB-B726-75AC-C6B1-FFD4C0C71401}"/>
            </a:ext>
            <a:ext uri="{147F2762-F138-4A5C-976F-8EAC2B608ADB}">
              <a16:predDERef xmlns:a16="http://schemas.microsoft.com/office/drawing/2014/main" pred="{657410D7-2686-D794-494A-1190EB515249}"/>
            </a:ext>
          </a:extLst>
        </xdr:cNvPr>
        <xdr:cNvSpPr txBox="1"/>
      </xdr:nvSpPr>
      <xdr:spPr>
        <a:xfrm>
          <a:off x="8220075" y="5486400"/>
          <a:ext cx="1971675" cy="1638300"/>
        </a:xfrm>
        <a:prstGeom prst="rect">
          <a:avLst/>
        </a:prstGeom>
        <a:solidFill>
          <a:schemeClr val="accent2">
            <a:lumMod val="60000"/>
            <a:lumOff val="4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a:t>
          </a:r>
          <a:r>
            <a:rPr lang="en-US" sz="1100" b="1" u="sng">
              <a:latin typeface="+mn-lt"/>
              <a:ea typeface="+mn-lt"/>
              <a:cs typeface="+mn-lt"/>
            </a:rPr>
            <a:t>Key Insight</a:t>
          </a:r>
          <a:endParaRPr lang="en-US" sz="1100">
            <a:latin typeface="+mn-lt"/>
            <a:ea typeface="+mn-lt"/>
            <a:cs typeface="+mn-lt"/>
          </a:endParaRPr>
        </a:p>
        <a:p>
          <a:pPr marL="0" indent="0" algn="l"/>
          <a:r>
            <a:rPr lang="en-US" sz="1100">
              <a:latin typeface="+mn-lt"/>
              <a:ea typeface="+mn-lt"/>
              <a:cs typeface="+mn-lt"/>
            </a:rPr>
            <a:t>Registered users accounted for approximately 92% of total bike rentals, while casual users contributed about 8%. This indicates that the bike-sharing system was primarily used by regular subscribers rather than occasional riders.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8.070198379632" createdVersion="8" refreshedVersion="8" minRefreshableVersion="3" recordCount="610" xr:uid="{27F72213-E9E3-48B3-B9B5-4D804A48C77B}">
  <cacheSource type="worksheet">
    <worksheetSource name="Table1"/>
  </cacheSource>
  <cacheFields count="9">
    <cacheField name="instant" numFmtId="0">
      <sharedItems containsSemiMixedTypes="0" containsString="0" containsNumber="1" containsInteger="1" minValue="1" maxValue="610"/>
    </cacheField>
    <cacheField name="atemp" numFmtId="0">
      <sharedItems containsSemiMixedTypes="0" containsString="0" containsNumber="1" minValue="0" maxValue="0.45450000000000002" count="30">
        <n v="0.28789999999999999"/>
        <n v="0.2727"/>
        <n v="0.2576"/>
        <n v="0.19900000000000001"/>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1" maxValue="249"/>
    </cacheField>
    <cacheField name="atemp range" numFmtId="0">
      <sharedItems count="4">
        <s v="Low"/>
        <s v="Very Low"/>
        <s v="Moderate"/>
        <s v="High"/>
      </sharedItems>
    </cacheField>
    <cacheField name="humidity range" numFmtId="0">
      <sharedItems count="4">
        <s v="Very High"/>
        <s v="High"/>
        <s v="Moderate"/>
        <s v="Low"/>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n v="0.81"/>
    <n v="0"/>
    <x v="0"/>
    <x v="0"/>
    <n v="16"/>
    <x v="0"/>
    <x v="0"/>
  </r>
  <r>
    <n v="2"/>
    <x v="1"/>
    <n v="0.8"/>
    <n v="0"/>
    <x v="1"/>
    <x v="1"/>
    <n v="40"/>
    <x v="0"/>
    <x v="0"/>
  </r>
  <r>
    <n v="3"/>
    <x v="1"/>
    <n v="0.8"/>
    <n v="0"/>
    <x v="2"/>
    <x v="2"/>
    <n v="32"/>
    <x v="0"/>
    <x v="0"/>
  </r>
  <r>
    <n v="4"/>
    <x v="0"/>
    <n v="0.75"/>
    <n v="0"/>
    <x v="0"/>
    <x v="3"/>
    <n v="13"/>
    <x v="0"/>
    <x v="1"/>
  </r>
  <r>
    <n v="5"/>
    <x v="0"/>
    <n v="0.75"/>
    <n v="0"/>
    <x v="3"/>
    <x v="4"/>
    <n v="1"/>
    <x v="0"/>
    <x v="1"/>
  </r>
  <r>
    <n v="6"/>
    <x v="2"/>
    <n v="0.75"/>
    <n v="8.9599999999999999E-2"/>
    <x v="3"/>
    <x v="4"/>
    <n v="1"/>
    <x v="0"/>
    <x v="1"/>
  </r>
  <r>
    <n v="7"/>
    <x v="1"/>
    <n v="0.8"/>
    <n v="0"/>
    <x v="4"/>
    <x v="5"/>
    <n v="2"/>
    <x v="0"/>
    <x v="0"/>
  </r>
  <r>
    <n v="8"/>
    <x v="2"/>
    <n v="0.86"/>
    <n v="0"/>
    <x v="5"/>
    <x v="6"/>
    <n v="3"/>
    <x v="0"/>
    <x v="0"/>
  </r>
  <r>
    <n v="9"/>
    <x v="3"/>
    <n v="0.75"/>
    <n v="0"/>
    <x v="5"/>
    <x v="7"/>
    <n v="8"/>
    <x v="1"/>
    <x v="1"/>
  </r>
  <r>
    <n v="10"/>
    <x v="4"/>
    <n v="0.76"/>
    <n v="0"/>
    <x v="1"/>
    <x v="8"/>
    <n v="14"/>
    <x v="2"/>
    <x v="1"/>
  </r>
  <r>
    <n v="11"/>
    <x v="5"/>
    <n v="0.76"/>
    <n v="0.25369999999999998"/>
    <x v="6"/>
    <x v="9"/>
    <n v="36"/>
    <x v="2"/>
    <x v="1"/>
  </r>
  <r>
    <n v="12"/>
    <x v="6"/>
    <n v="0.81"/>
    <n v="0.28360000000000002"/>
    <x v="7"/>
    <x v="10"/>
    <n v="56"/>
    <x v="2"/>
    <x v="0"/>
  </r>
  <r>
    <n v="13"/>
    <x v="7"/>
    <n v="0.77"/>
    <n v="0.28360000000000002"/>
    <x v="8"/>
    <x v="11"/>
    <n v="84"/>
    <x v="3"/>
    <x v="1"/>
  </r>
  <r>
    <n v="14"/>
    <x v="8"/>
    <n v="0.72"/>
    <n v="0.29849999999999999"/>
    <x v="9"/>
    <x v="12"/>
    <n v="94"/>
    <x v="3"/>
    <x v="1"/>
  </r>
  <r>
    <n v="15"/>
    <x v="8"/>
    <n v="0.72"/>
    <n v="0.28360000000000002"/>
    <x v="10"/>
    <x v="13"/>
    <n v="106"/>
    <x v="3"/>
    <x v="1"/>
  </r>
  <r>
    <n v="16"/>
    <x v="9"/>
    <n v="0.77"/>
    <n v="0.29849999999999999"/>
    <x v="11"/>
    <x v="14"/>
    <n v="110"/>
    <x v="3"/>
    <x v="1"/>
  </r>
  <r>
    <n v="17"/>
    <x v="7"/>
    <n v="0.82"/>
    <n v="0.29849999999999999"/>
    <x v="12"/>
    <x v="15"/>
    <n v="93"/>
    <x v="3"/>
    <x v="0"/>
  </r>
  <r>
    <n v="18"/>
    <x v="3"/>
    <n v="0.82"/>
    <n v="0.28360000000000002"/>
    <x v="13"/>
    <x v="15"/>
    <n v="67"/>
    <x v="1"/>
    <x v="0"/>
  </r>
  <r>
    <n v="19"/>
    <x v="7"/>
    <n v="0.88"/>
    <n v="0.25369999999999998"/>
    <x v="14"/>
    <x v="16"/>
    <n v="35"/>
    <x v="3"/>
    <x v="0"/>
  </r>
  <r>
    <n v="20"/>
    <x v="7"/>
    <n v="0.88"/>
    <n v="0.25369999999999998"/>
    <x v="15"/>
    <x v="17"/>
    <n v="37"/>
    <x v="3"/>
    <x v="0"/>
  </r>
  <r>
    <n v="21"/>
    <x v="10"/>
    <n v="0.87"/>
    <n v="0.25369999999999998"/>
    <x v="16"/>
    <x v="18"/>
    <n v="36"/>
    <x v="3"/>
    <x v="0"/>
  </r>
  <r>
    <n v="22"/>
    <x v="10"/>
    <n v="0.87"/>
    <n v="0.19400000000000001"/>
    <x v="0"/>
    <x v="17"/>
    <n v="34"/>
    <x v="3"/>
    <x v="0"/>
  </r>
  <r>
    <n v="23"/>
    <x v="10"/>
    <n v="0.94"/>
    <n v="0.22389999999999999"/>
    <x v="16"/>
    <x v="19"/>
    <n v="28"/>
    <x v="3"/>
    <x v="0"/>
  </r>
  <r>
    <n v="24"/>
    <x v="3"/>
    <n v="0.88"/>
    <n v="0.29849999999999999"/>
    <x v="13"/>
    <x v="9"/>
    <n v="39"/>
    <x v="1"/>
    <x v="0"/>
  </r>
  <r>
    <n v="25"/>
    <x v="8"/>
    <n v="0.88"/>
    <n v="0.29849999999999999"/>
    <x v="17"/>
    <x v="0"/>
    <n v="17"/>
    <x v="3"/>
    <x v="0"/>
  </r>
  <r>
    <n v="26"/>
    <x v="9"/>
    <n v="0.94"/>
    <n v="0.25369999999999998"/>
    <x v="5"/>
    <x v="20"/>
    <n v="17"/>
    <x v="3"/>
    <x v="0"/>
  </r>
  <r>
    <n v="27"/>
    <x v="7"/>
    <n v="1"/>
    <n v="0.28360000000000002"/>
    <x v="5"/>
    <x v="21"/>
    <n v="9"/>
    <x v="3"/>
    <x v="0"/>
  </r>
  <r>
    <n v="28"/>
    <x v="8"/>
    <n v="0.94"/>
    <n v="0.19400000000000001"/>
    <x v="4"/>
    <x v="22"/>
    <n v="6"/>
    <x v="3"/>
    <x v="0"/>
  </r>
  <r>
    <n v="29"/>
    <x v="3"/>
    <n v="0.94"/>
    <n v="0.19400000000000001"/>
    <x v="4"/>
    <x v="4"/>
    <n v="3"/>
    <x v="1"/>
    <x v="0"/>
  </r>
  <r>
    <n v="30"/>
    <x v="7"/>
    <n v="0.77"/>
    <n v="0.29849999999999999"/>
    <x v="3"/>
    <x v="6"/>
    <n v="2"/>
    <x v="3"/>
    <x v="1"/>
  </r>
  <r>
    <n v="31"/>
    <x v="10"/>
    <n v="0.76"/>
    <n v="0.19400000000000001"/>
    <x v="3"/>
    <x v="4"/>
    <n v="1"/>
    <x v="3"/>
    <x v="1"/>
  </r>
  <r>
    <n v="32"/>
    <x v="10"/>
    <n v="0.71"/>
    <n v="0.22389999999999999"/>
    <x v="3"/>
    <x v="21"/>
    <n v="8"/>
    <x v="3"/>
    <x v="1"/>
  </r>
  <r>
    <n v="33"/>
    <x v="3"/>
    <n v="0.76"/>
    <n v="0.22389999999999999"/>
    <x v="5"/>
    <x v="23"/>
    <n v="20"/>
    <x v="1"/>
    <x v="1"/>
  </r>
  <r>
    <n v="34"/>
    <x v="4"/>
    <n v="0.81"/>
    <n v="0.22389999999999999"/>
    <x v="18"/>
    <x v="24"/>
    <n v="53"/>
    <x v="2"/>
    <x v="0"/>
  </r>
  <r>
    <n v="35"/>
    <x v="6"/>
    <n v="0.71"/>
    <n v="0.25369999999999998"/>
    <x v="19"/>
    <x v="25"/>
    <n v="70"/>
    <x v="2"/>
    <x v="1"/>
  </r>
  <r>
    <n v="36"/>
    <x v="6"/>
    <n v="0.66"/>
    <n v="0.29849999999999999"/>
    <x v="20"/>
    <x v="26"/>
    <n v="93"/>
    <x v="2"/>
    <x v="1"/>
  </r>
  <r>
    <n v="37"/>
    <x v="4"/>
    <n v="0.66"/>
    <n v="0.1343"/>
    <x v="16"/>
    <x v="27"/>
    <n v="75"/>
    <x v="2"/>
    <x v="1"/>
  </r>
  <r>
    <n v="38"/>
    <x v="3"/>
    <n v="0.76"/>
    <n v="0.19400000000000001"/>
    <x v="17"/>
    <x v="11"/>
    <n v="59"/>
    <x v="1"/>
    <x v="1"/>
  </r>
  <r>
    <n v="39"/>
    <x v="6"/>
    <n v="0.81"/>
    <n v="0.16420000000000001"/>
    <x v="21"/>
    <x v="11"/>
    <n v="74"/>
    <x v="2"/>
    <x v="0"/>
  </r>
  <r>
    <n v="40"/>
    <x v="6"/>
    <n v="0.71"/>
    <n v="0.16420000000000001"/>
    <x v="14"/>
    <x v="28"/>
    <n v="76"/>
    <x v="2"/>
    <x v="1"/>
  </r>
  <r>
    <n v="41"/>
    <x v="6"/>
    <n v="0.56999999999999995"/>
    <n v="0.19400000000000001"/>
    <x v="18"/>
    <x v="29"/>
    <n v="65"/>
    <x v="2"/>
    <x v="2"/>
  </r>
  <r>
    <n v="42"/>
    <x v="6"/>
    <n v="0.46"/>
    <n v="0.32840000000000003"/>
    <x v="22"/>
    <x v="30"/>
    <n v="53"/>
    <x v="2"/>
    <x v="2"/>
  </r>
  <r>
    <n v="43"/>
    <x v="0"/>
    <n v="0.42"/>
    <n v="0.44779999999999998"/>
    <x v="5"/>
    <x v="31"/>
    <n v="30"/>
    <x v="0"/>
    <x v="2"/>
  </r>
  <r>
    <n v="44"/>
    <x v="3"/>
    <n v="0.39"/>
    <n v="0.35820000000000002"/>
    <x v="2"/>
    <x v="19"/>
    <n v="22"/>
    <x v="1"/>
    <x v="3"/>
  </r>
  <r>
    <n v="45"/>
    <x v="11"/>
    <n v="0.44"/>
    <n v="0.32840000000000003"/>
    <x v="16"/>
    <x v="32"/>
    <n v="31"/>
    <x v="0"/>
    <x v="2"/>
  </r>
  <r>
    <n v="46"/>
    <x v="12"/>
    <n v="0.44"/>
    <n v="0.29849999999999999"/>
    <x v="3"/>
    <x v="33"/>
    <n v="9"/>
    <x v="0"/>
    <x v="2"/>
  </r>
  <r>
    <n v="47"/>
    <x v="11"/>
    <n v="0.47"/>
    <n v="0.16420000000000001"/>
    <x v="3"/>
    <x v="21"/>
    <n v="8"/>
    <x v="0"/>
    <x v="2"/>
  </r>
  <r>
    <n v="48"/>
    <x v="13"/>
    <n v="0.44"/>
    <n v="0.35820000000000002"/>
    <x v="3"/>
    <x v="34"/>
    <n v="5"/>
    <x v="1"/>
    <x v="2"/>
  </r>
  <r>
    <n v="49"/>
    <x v="3"/>
    <n v="0.44"/>
    <n v="0.41789999999999999"/>
    <x v="3"/>
    <x v="6"/>
    <n v="2"/>
    <x v="1"/>
    <x v="2"/>
  </r>
  <r>
    <n v="50"/>
    <x v="14"/>
    <n v="0.47"/>
    <n v="0.3881"/>
    <x v="3"/>
    <x v="4"/>
    <n v="1"/>
    <x v="1"/>
    <x v="2"/>
  </r>
  <r>
    <n v="51"/>
    <x v="14"/>
    <n v="0.47"/>
    <n v="0.28360000000000002"/>
    <x v="3"/>
    <x v="35"/>
    <n v="3"/>
    <x v="1"/>
    <x v="2"/>
  </r>
  <r>
    <n v="52"/>
    <x v="15"/>
    <n v="0.5"/>
    <n v="0.3881"/>
    <x v="3"/>
    <x v="10"/>
    <n v="30"/>
    <x v="1"/>
    <x v="2"/>
  </r>
  <r>
    <n v="53"/>
    <x v="14"/>
    <n v="0.5"/>
    <n v="0.19400000000000001"/>
    <x v="5"/>
    <x v="36"/>
    <n v="64"/>
    <x v="1"/>
    <x v="2"/>
  </r>
  <r>
    <n v="54"/>
    <x v="16"/>
    <n v="0.5"/>
    <n v="0.28360000000000002"/>
    <x v="5"/>
    <x v="37"/>
    <n v="154"/>
    <x v="1"/>
    <x v="2"/>
  </r>
  <r>
    <n v="55"/>
    <x v="14"/>
    <n v="0.43"/>
    <n v="0.3881"/>
    <x v="18"/>
    <x v="38"/>
    <n v="88"/>
    <x v="1"/>
    <x v="2"/>
  </r>
  <r>
    <n v="56"/>
    <x v="17"/>
    <n v="0.43"/>
    <n v="0.25369999999999998"/>
    <x v="16"/>
    <x v="39"/>
    <n v="44"/>
    <x v="1"/>
    <x v="2"/>
  </r>
  <r>
    <n v="57"/>
    <x v="18"/>
    <n v="0.4"/>
    <n v="0.32840000000000003"/>
    <x v="22"/>
    <x v="40"/>
    <n v="51"/>
    <x v="1"/>
    <x v="2"/>
  </r>
  <r>
    <n v="58"/>
    <x v="12"/>
    <n v="0.35"/>
    <n v="0.29849999999999999"/>
    <x v="23"/>
    <x v="41"/>
    <n v="61"/>
    <x v="0"/>
    <x v="3"/>
  </r>
  <r>
    <n v="59"/>
    <x v="3"/>
    <n v="0.35"/>
    <n v="0.28360000000000002"/>
    <x v="1"/>
    <x v="42"/>
    <n v="61"/>
    <x v="1"/>
    <x v="3"/>
  </r>
  <r>
    <n v="60"/>
    <x v="19"/>
    <n v="0.3"/>
    <n v="0.28360000000000002"/>
    <x v="16"/>
    <x v="43"/>
    <n v="77"/>
    <x v="0"/>
    <x v="3"/>
  </r>
  <r>
    <n v="61"/>
    <x v="19"/>
    <n v="0.3"/>
    <n v="0.25369999999999998"/>
    <x v="24"/>
    <x v="29"/>
    <n v="72"/>
    <x v="0"/>
    <x v="3"/>
  </r>
  <r>
    <n v="62"/>
    <x v="19"/>
    <n v="0.3"/>
    <n v="0.25369999999999998"/>
    <x v="14"/>
    <x v="28"/>
    <n v="76"/>
    <x v="0"/>
    <x v="3"/>
  </r>
  <r>
    <n v="63"/>
    <x v="11"/>
    <n v="0.3"/>
    <n v="0.22389999999999999"/>
    <x v="16"/>
    <x v="44"/>
    <n v="157"/>
    <x v="0"/>
    <x v="3"/>
  </r>
  <r>
    <n v="64"/>
    <x v="2"/>
    <n v="0.32"/>
    <n v="0.1045"/>
    <x v="14"/>
    <x v="45"/>
    <n v="157"/>
    <x v="0"/>
    <x v="3"/>
  </r>
  <r>
    <n v="65"/>
    <x v="2"/>
    <n v="0.47"/>
    <n v="0"/>
    <x v="1"/>
    <x v="46"/>
    <n v="110"/>
    <x v="0"/>
    <x v="2"/>
  </r>
  <r>
    <n v="66"/>
    <x v="3"/>
    <n v="0.47"/>
    <n v="0.1045"/>
    <x v="0"/>
    <x v="47"/>
    <n v="52"/>
    <x v="1"/>
    <x v="2"/>
  </r>
  <r>
    <n v="67"/>
    <x v="13"/>
    <n v="0.64"/>
    <n v="0.1343"/>
    <x v="0"/>
    <x v="47"/>
    <n v="52"/>
    <x v="1"/>
    <x v="1"/>
  </r>
  <r>
    <n v="68"/>
    <x v="20"/>
    <n v="0.69"/>
    <n v="0.1343"/>
    <x v="3"/>
    <x v="32"/>
    <n v="20"/>
    <x v="1"/>
    <x v="1"/>
  </r>
  <r>
    <n v="69"/>
    <x v="12"/>
    <n v="0.55000000000000004"/>
    <n v="0.1045"/>
    <x v="5"/>
    <x v="48"/>
    <n v="12"/>
    <x v="0"/>
    <x v="2"/>
  </r>
  <r>
    <n v="70"/>
    <x v="3"/>
    <n v="0.55000000000000004"/>
    <n v="0.1045"/>
    <x v="3"/>
    <x v="34"/>
    <n v="5"/>
    <x v="1"/>
    <x v="2"/>
  </r>
  <r>
    <n v="71"/>
    <x v="18"/>
    <n v="0.59"/>
    <n v="0.1045"/>
    <x v="3"/>
    <x v="6"/>
    <n v="2"/>
    <x v="1"/>
    <x v="2"/>
  </r>
  <r>
    <n v="72"/>
    <x v="20"/>
    <n v="0.63"/>
    <n v="0.1343"/>
    <x v="3"/>
    <x v="4"/>
    <n v="1"/>
    <x v="1"/>
    <x v="1"/>
  </r>
  <r>
    <n v="73"/>
    <x v="18"/>
    <n v="0.63"/>
    <n v="8.9599999999999999E-2"/>
    <x v="3"/>
    <x v="6"/>
    <n v="2"/>
    <x v="1"/>
    <x v="1"/>
  </r>
  <r>
    <n v="74"/>
    <x v="20"/>
    <n v="0.68"/>
    <n v="0.1045"/>
    <x v="3"/>
    <x v="22"/>
    <n v="4"/>
    <x v="1"/>
    <x v="1"/>
  </r>
  <r>
    <n v="75"/>
    <x v="20"/>
    <n v="0.74"/>
    <n v="0.1045"/>
    <x v="3"/>
    <x v="49"/>
    <n v="36"/>
    <x v="1"/>
    <x v="1"/>
  </r>
  <r>
    <n v="76"/>
    <x v="20"/>
    <n v="0.74"/>
    <n v="0.1343"/>
    <x v="4"/>
    <x v="50"/>
    <n v="94"/>
    <x v="1"/>
    <x v="1"/>
  </r>
  <r>
    <n v="77"/>
    <x v="20"/>
    <n v="0.69"/>
    <n v="0.16420000000000001"/>
    <x v="4"/>
    <x v="51"/>
    <n v="179"/>
    <x v="1"/>
    <x v="1"/>
  </r>
  <r>
    <n v="78"/>
    <x v="20"/>
    <n v="0.64"/>
    <n v="0.22389999999999999"/>
    <x v="4"/>
    <x v="52"/>
    <n v="100"/>
    <x v="1"/>
    <x v="1"/>
  </r>
  <r>
    <n v="79"/>
    <x v="14"/>
    <n v="0.69"/>
    <n v="0.32840000000000003"/>
    <x v="2"/>
    <x v="53"/>
    <n v="42"/>
    <x v="1"/>
    <x v="1"/>
  </r>
  <r>
    <n v="80"/>
    <x v="12"/>
    <n v="0.51"/>
    <n v="0.29849999999999999"/>
    <x v="18"/>
    <x v="54"/>
    <n v="57"/>
    <x v="0"/>
    <x v="2"/>
  </r>
  <r>
    <n v="81"/>
    <x v="11"/>
    <n v="0.51"/>
    <n v="0.16420000000000001"/>
    <x v="6"/>
    <x v="43"/>
    <n v="78"/>
    <x v="0"/>
    <x v="2"/>
  </r>
  <r>
    <n v="82"/>
    <x v="11"/>
    <n v="0.56000000000000005"/>
    <n v="0.19400000000000001"/>
    <x v="25"/>
    <x v="55"/>
    <n v="97"/>
    <x v="0"/>
    <x v="2"/>
  </r>
  <r>
    <n v="83"/>
    <x v="2"/>
    <n v="0.52"/>
    <n v="0.22389999999999999"/>
    <x v="14"/>
    <x v="25"/>
    <n v="63"/>
    <x v="0"/>
    <x v="2"/>
  </r>
  <r>
    <n v="84"/>
    <x v="1"/>
    <n v="0.52"/>
    <n v="0.25369999999999998"/>
    <x v="26"/>
    <x v="41"/>
    <n v="65"/>
    <x v="0"/>
    <x v="2"/>
  </r>
  <r>
    <n v="85"/>
    <x v="0"/>
    <n v="0.49"/>
    <n v="0.25369999999999998"/>
    <x v="13"/>
    <x v="56"/>
    <n v="83"/>
    <x v="0"/>
    <x v="2"/>
  </r>
  <r>
    <n v="86"/>
    <x v="1"/>
    <n v="0.48"/>
    <n v="0.22389999999999999"/>
    <x v="22"/>
    <x v="57"/>
    <n v="212"/>
    <x v="0"/>
    <x v="2"/>
  </r>
  <r>
    <n v="87"/>
    <x v="2"/>
    <n v="0.48"/>
    <n v="0.19400000000000001"/>
    <x v="0"/>
    <x v="58"/>
    <n v="182"/>
    <x v="0"/>
    <x v="2"/>
  </r>
  <r>
    <n v="88"/>
    <x v="2"/>
    <n v="0.48"/>
    <n v="0.1045"/>
    <x v="4"/>
    <x v="59"/>
    <n v="112"/>
    <x v="0"/>
    <x v="2"/>
  </r>
  <r>
    <n v="89"/>
    <x v="2"/>
    <n v="0.48"/>
    <n v="0.1045"/>
    <x v="5"/>
    <x v="42"/>
    <n v="54"/>
    <x v="0"/>
    <x v="2"/>
  </r>
  <r>
    <n v="90"/>
    <x v="1"/>
    <n v="0.64"/>
    <n v="0"/>
    <x v="3"/>
    <x v="41"/>
    <n v="48"/>
    <x v="0"/>
    <x v="1"/>
  </r>
  <r>
    <n v="91"/>
    <x v="2"/>
    <n v="0.64"/>
    <n v="8.9599999999999999E-2"/>
    <x v="5"/>
    <x v="60"/>
    <n v="35"/>
    <x v="0"/>
    <x v="1"/>
  </r>
  <r>
    <n v="92"/>
    <x v="11"/>
    <n v="0.69"/>
    <n v="8.9599999999999999E-2"/>
    <x v="4"/>
    <x v="33"/>
    <n v="11"/>
    <x v="0"/>
    <x v="1"/>
  </r>
  <r>
    <n v="93"/>
    <x v="2"/>
    <n v="0.64"/>
    <n v="0"/>
    <x v="3"/>
    <x v="8"/>
    <n v="6"/>
    <x v="0"/>
    <x v="1"/>
  </r>
  <r>
    <n v="94"/>
    <x v="13"/>
    <n v="0.74"/>
    <n v="8.9599999999999999E-2"/>
    <x v="3"/>
    <x v="8"/>
    <n v="6"/>
    <x v="1"/>
    <x v="1"/>
  </r>
  <r>
    <n v="95"/>
    <x v="13"/>
    <n v="0.74"/>
    <n v="8.9599999999999999E-2"/>
    <x v="3"/>
    <x v="6"/>
    <n v="2"/>
    <x v="1"/>
    <x v="1"/>
  </r>
  <r>
    <n v="96"/>
    <x v="11"/>
    <n v="0.48"/>
    <n v="0.22389999999999999"/>
    <x v="3"/>
    <x v="6"/>
    <n v="2"/>
    <x v="0"/>
    <x v="2"/>
  </r>
  <r>
    <n v="97"/>
    <x v="11"/>
    <n v="0.47"/>
    <n v="0.16420000000000001"/>
    <x v="3"/>
    <x v="35"/>
    <n v="3"/>
    <x v="0"/>
    <x v="2"/>
  </r>
  <r>
    <n v="98"/>
    <x v="13"/>
    <n v="0.47"/>
    <n v="0.22389999999999999"/>
    <x v="3"/>
    <x v="39"/>
    <n v="33"/>
    <x v="1"/>
    <x v="2"/>
  </r>
  <r>
    <n v="99"/>
    <x v="18"/>
    <n v="0.43"/>
    <n v="0.19400000000000001"/>
    <x v="5"/>
    <x v="61"/>
    <n v="88"/>
    <x v="1"/>
    <x v="2"/>
  </r>
  <r>
    <n v="100"/>
    <x v="18"/>
    <n v="0.4"/>
    <n v="0.29849999999999999"/>
    <x v="0"/>
    <x v="62"/>
    <n v="195"/>
    <x v="1"/>
    <x v="2"/>
  </r>
  <r>
    <n v="101"/>
    <x v="13"/>
    <n v="0.37"/>
    <n v="0.32840000000000003"/>
    <x v="15"/>
    <x v="63"/>
    <n v="115"/>
    <x v="1"/>
    <x v="3"/>
  </r>
  <r>
    <n v="102"/>
    <x v="13"/>
    <n v="0.37"/>
    <n v="0.32840000000000003"/>
    <x v="17"/>
    <x v="42"/>
    <n v="57"/>
    <x v="1"/>
    <x v="3"/>
  </r>
  <r>
    <n v="103"/>
    <x v="11"/>
    <n v="0.33"/>
    <n v="0.32840000000000003"/>
    <x v="6"/>
    <x v="60"/>
    <n v="46"/>
    <x v="0"/>
    <x v="3"/>
  </r>
  <r>
    <n v="104"/>
    <x v="11"/>
    <n v="0.33"/>
    <n v="0.32840000000000003"/>
    <x v="2"/>
    <x v="64"/>
    <n v="79"/>
    <x v="0"/>
    <x v="3"/>
  </r>
  <r>
    <n v="105"/>
    <x v="2"/>
    <n v="0.3"/>
    <n v="0.29849999999999999"/>
    <x v="15"/>
    <x v="65"/>
    <n v="71"/>
    <x v="0"/>
    <x v="3"/>
  </r>
  <r>
    <n v="106"/>
    <x v="0"/>
    <n v="0.28000000000000003"/>
    <n v="0.19400000000000001"/>
    <x v="22"/>
    <x v="15"/>
    <n v="62"/>
    <x v="0"/>
    <x v="3"/>
  </r>
  <r>
    <n v="107"/>
    <x v="0"/>
    <n v="0.28000000000000003"/>
    <n v="0.19400000000000001"/>
    <x v="18"/>
    <x v="11"/>
    <n v="62"/>
    <x v="0"/>
    <x v="3"/>
  </r>
  <r>
    <n v="108"/>
    <x v="21"/>
    <n v="0.28000000000000003"/>
    <n v="8.9599999999999999E-2"/>
    <x v="17"/>
    <x v="66"/>
    <n v="89"/>
    <x v="2"/>
    <x v="3"/>
  </r>
  <r>
    <n v="109"/>
    <x v="11"/>
    <n v="0.38"/>
    <n v="0.19400000000000001"/>
    <x v="17"/>
    <x v="67"/>
    <n v="190"/>
    <x v="0"/>
    <x v="3"/>
  </r>
  <r>
    <n v="110"/>
    <x v="19"/>
    <n v="0.38"/>
    <n v="0.1343"/>
    <x v="0"/>
    <x v="68"/>
    <n v="169"/>
    <x v="0"/>
    <x v="3"/>
  </r>
  <r>
    <n v="111"/>
    <x v="2"/>
    <n v="0.38"/>
    <n v="0.1045"/>
    <x v="2"/>
    <x v="69"/>
    <n v="132"/>
    <x v="0"/>
    <x v="3"/>
  </r>
  <r>
    <n v="112"/>
    <x v="11"/>
    <n v="0.47"/>
    <n v="0.16420000000000001"/>
    <x v="18"/>
    <x v="70"/>
    <n v="89"/>
    <x v="0"/>
    <x v="2"/>
  </r>
  <r>
    <n v="113"/>
    <x v="13"/>
    <n v="0.51"/>
    <n v="0.19400000000000001"/>
    <x v="0"/>
    <x v="71"/>
    <n v="43"/>
    <x v="1"/>
    <x v="2"/>
  </r>
  <r>
    <n v="114"/>
    <x v="13"/>
    <n v="0.55000000000000004"/>
    <n v="0.1343"/>
    <x v="5"/>
    <x v="40"/>
    <n v="42"/>
    <x v="1"/>
    <x v="2"/>
  </r>
  <r>
    <n v="115"/>
    <x v="2"/>
    <n v="0.47"/>
    <n v="0"/>
    <x v="5"/>
    <x v="72"/>
    <n v="19"/>
    <x v="0"/>
    <x v="2"/>
  </r>
  <r>
    <n v="116"/>
    <x v="19"/>
    <n v="0.55000000000000004"/>
    <n v="0"/>
    <x v="3"/>
    <x v="48"/>
    <n v="11"/>
    <x v="0"/>
    <x v="2"/>
  </r>
  <r>
    <n v="117"/>
    <x v="11"/>
    <n v="0.64"/>
    <n v="0"/>
    <x v="3"/>
    <x v="22"/>
    <n v="4"/>
    <x v="0"/>
    <x v="1"/>
  </r>
  <r>
    <n v="118"/>
    <x v="11"/>
    <n v="0.64"/>
    <n v="0"/>
    <x v="3"/>
    <x v="6"/>
    <n v="2"/>
    <x v="0"/>
    <x v="1"/>
  </r>
  <r>
    <n v="119"/>
    <x v="13"/>
    <n v="0.64"/>
    <n v="8.9599999999999999E-2"/>
    <x v="3"/>
    <x v="4"/>
    <n v="1"/>
    <x v="1"/>
    <x v="1"/>
  </r>
  <r>
    <n v="120"/>
    <x v="18"/>
    <n v="0.69"/>
    <n v="8.9599999999999999E-2"/>
    <x v="3"/>
    <x v="22"/>
    <n v="4"/>
    <x v="1"/>
    <x v="1"/>
  </r>
  <r>
    <n v="121"/>
    <x v="17"/>
    <n v="0.63"/>
    <n v="0.1045"/>
    <x v="3"/>
    <x v="49"/>
    <n v="36"/>
    <x v="1"/>
    <x v="1"/>
  </r>
  <r>
    <n v="122"/>
    <x v="11"/>
    <n v="0.59"/>
    <n v="0"/>
    <x v="3"/>
    <x v="73"/>
    <n v="95"/>
    <x v="0"/>
    <x v="2"/>
  </r>
  <r>
    <n v="123"/>
    <x v="11"/>
    <n v="0.59"/>
    <n v="0"/>
    <x v="0"/>
    <x v="74"/>
    <n v="219"/>
    <x v="0"/>
    <x v="2"/>
  </r>
  <r>
    <n v="124"/>
    <x v="19"/>
    <n v="0.51"/>
    <n v="0"/>
    <x v="15"/>
    <x v="75"/>
    <n v="122"/>
    <x v="0"/>
    <x v="2"/>
  </r>
  <r>
    <n v="125"/>
    <x v="2"/>
    <n v="0.47"/>
    <n v="0"/>
    <x v="0"/>
    <x v="76"/>
    <n v="45"/>
    <x v="0"/>
    <x v="2"/>
  </r>
  <r>
    <n v="126"/>
    <x v="2"/>
    <n v="0.44"/>
    <n v="8.9599999999999999E-2"/>
    <x v="4"/>
    <x v="77"/>
    <n v="59"/>
    <x v="0"/>
    <x v="2"/>
  </r>
  <r>
    <n v="127"/>
    <x v="0"/>
    <n v="0.35"/>
    <n v="0"/>
    <x v="15"/>
    <x v="78"/>
    <n v="84"/>
    <x v="0"/>
    <x v="3"/>
  </r>
  <r>
    <n v="128"/>
    <x v="1"/>
    <n v="0.35"/>
    <n v="0.1045"/>
    <x v="6"/>
    <x v="11"/>
    <n v="67"/>
    <x v="0"/>
    <x v="3"/>
  </r>
  <r>
    <n v="129"/>
    <x v="1"/>
    <n v="0.36"/>
    <n v="0.16420000000000001"/>
    <x v="16"/>
    <x v="79"/>
    <n v="70"/>
    <x v="0"/>
    <x v="3"/>
  </r>
  <r>
    <n v="130"/>
    <x v="1"/>
    <n v="0.36"/>
    <n v="0"/>
    <x v="1"/>
    <x v="25"/>
    <n v="62"/>
    <x v="0"/>
    <x v="3"/>
  </r>
  <r>
    <n v="131"/>
    <x v="2"/>
    <n v="0.38"/>
    <n v="0.16420000000000001"/>
    <x v="6"/>
    <x v="64"/>
    <n v="86"/>
    <x v="0"/>
    <x v="3"/>
  </r>
  <r>
    <n v="132"/>
    <x v="11"/>
    <n v="0.51"/>
    <n v="0.16420000000000001"/>
    <x v="14"/>
    <x v="80"/>
    <n v="172"/>
    <x v="0"/>
    <x v="2"/>
  </r>
  <r>
    <n v="133"/>
    <x v="11"/>
    <n v="0.51"/>
    <n v="0.1343"/>
    <x v="2"/>
    <x v="81"/>
    <n v="163"/>
    <x v="0"/>
    <x v="2"/>
  </r>
  <r>
    <n v="134"/>
    <x v="2"/>
    <n v="0.55000000000000004"/>
    <n v="8.9599999999999999E-2"/>
    <x v="0"/>
    <x v="63"/>
    <n v="112"/>
    <x v="0"/>
    <x v="2"/>
  </r>
  <r>
    <n v="135"/>
    <x v="12"/>
    <n v="0.51"/>
    <n v="0.16420000000000001"/>
    <x v="0"/>
    <x v="43"/>
    <n v="69"/>
    <x v="0"/>
    <x v="2"/>
  </r>
  <r>
    <n v="136"/>
    <x v="12"/>
    <n v="0.55000000000000004"/>
    <n v="0.22389999999999999"/>
    <x v="3"/>
    <x v="41"/>
    <n v="48"/>
    <x v="0"/>
    <x v="2"/>
  </r>
  <r>
    <n v="137"/>
    <x v="12"/>
    <n v="0.51"/>
    <n v="0.28360000000000002"/>
    <x v="5"/>
    <x v="82"/>
    <n v="52"/>
    <x v="0"/>
    <x v="2"/>
  </r>
  <r>
    <n v="138"/>
    <x v="13"/>
    <n v="0.59"/>
    <n v="0.19400000000000001"/>
    <x v="17"/>
    <x v="23"/>
    <n v="23"/>
    <x v="1"/>
    <x v="2"/>
  </r>
  <r>
    <n v="139"/>
    <x v="13"/>
    <n v="0.64"/>
    <n v="0.19400000000000001"/>
    <x v="17"/>
    <x v="0"/>
    <n v="17"/>
    <x v="1"/>
    <x v="1"/>
  </r>
  <r>
    <n v="140"/>
    <x v="13"/>
    <n v="0.69"/>
    <n v="0.22389999999999999"/>
    <x v="4"/>
    <x v="34"/>
    <n v="7"/>
    <x v="1"/>
    <x v="1"/>
  </r>
  <r>
    <n v="141"/>
    <x v="13"/>
    <n v="0.69"/>
    <n v="0.22389999999999999"/>
    <x v="3"/>
    <x v="4"/>
    <n v="1"/>
    <x v="1"/>
    <x v="1"/>
  </r>
  <r>
    <n v="142"/>
    <x v="12"/>
    <n v="0.69"/>
    <n v="0.1343"/>
    <x v="3"/>
    <x v="4"/>
    <n v="1"/>
    <x v="0"/>
    <x v="1"/>
  </r>
  <r>
    <n v="143"/>
    <x v="1"/>
    <n v="0.55000000000000004"/>
    <n v="0"/>
    <x v="3"/>
    <x v="34"/>
    <n v="5"/>
    <x v="0"/>
    <x v="2"/>
  </r>
  <r>
    <n v="144"/>
    <x v="2"/>
    <n v="0.69"/>
    <n v="0"/>
    <x v="1"/>
    <x v="16"/>
    <n v="34"/>
    <x v="0"/>
    <x v="1"/>
  </r>
  <r>
    <n v="145"/>
    <x v="12"/>
    <n v="0.69"/>
    <n v="0.1343"/>
    <x v="1"/>
    <x v="83"/>
    <n v="84"/>
    <x v="0"/>
    <x v="1"/>
  </r>
  <r>
    <n v="146"/>
    <x v="13"/>
    <n v="0.51"/>
    <n v="0.25369999999999998"/>
    <x v="20"/>
    <x v="84"/>
    <n v="210"/>
    <x v="1"/>
    <x v="2"/>
  </r>
  <r>
    <n v="147"/>
    <x v="18"/>
    <n v="0.47"/>
    <n v="0.29849999999999999"/>
    <x v="14"/>
    <x v="85"/>
    <n v="134"/>
    <x v="1"/>
    <x v="2"/>
  </r>
  <r>
    <n v="148"/>
    <x v="13"/>
    <n v="0.37"/>
    <n v="0.32840000000000003"/>
    <x v="19"/>
    <x v="12"/>
    <n v="63"/>
    <x v="1"/>
    <x v="3"/>
  </r>
  <r>
    <n v="149"/>
    <x v="13"/>
    <n v="0.4"/>
    <n v="0.22389999999999999"/>
    <x v="21"/>
    <x v="41"/>
    <n v="67"/>
    <x v="1"/>
    <x v="2"/>
  </r>
  <r>
    <n v="150"/>
    <x v="13"/>
    <n v="0.37"/>
    <n v="0.25369999999999998"/>
    <x v="14"/>
    <x v="54"/>
    <n v="59"/>
    <x v="1"/>
    <x v="3"/>
  </r>
  <r>
    <n v="151"/>
    <x v="18"/>
    <n v="0.37"/>
    <n v="0.28360000000000002"/>
    <x v="14"/>
    <x v="27"/>
    <n v="73"/>
    <x v="1"/>
    <x v="3"/>
  </r>
  <r>
    <n v="152"/>
    <x v="13"/>
    <n v="0.4"/>
    <n v="0.25369999999999998"/>
    <x v="18"/>
    <x v="30"/>
    <n v="50"/>
    <x v="1"/>
    <x v="2"/>
  </r>
  <r>
    <n v="153"/>
    <x v="12"/>
    <n v="0.37"/>
    <n v="0.16420000000000001"/>
    <x v="14"/>
    <x v="36"/>
    <n v="72"/>
    <x v="0"/>
    <x v="3"/>
  </r>
  <r>
    <n v="154"/>
    <x v="12"/>
    <n v="0.37"/>
    <n v="0.16420000000000001"/>
    <x v="2"/>
    <x v="70"/>
    <n v="87"/>
    <x v="0"/>
    <x v="3"/>
  </r>
  <r>
    <n v="155"/>
    <x v="2"/>
    <n v="0.37"/>
    <n v="0"/>
    <x v="14"/>
    <x v="86"/>
    <n v="187"/>
    <x v="0"/>
    <x v="3"/>
  </r>
  <r>
    <n v="156"/>
    <x v="11"/>
    <n v="0.4"/>
    <n v="8.9599999999999999E-2"/>
    <x v="18"/>
    <x v="75"/>
    <n v="123"/>
    <x v="0"/>
    <x v="2"/>
  </r>
  <r>
    <n v="157"/>
    <x v="13"/>
    <n v="0.55000000000000004"/>
    <n v="8.9599999999999999E-2"/>
    <x v="0"/>
    <x v="50"/>
    <n v="95"/>
    <x v="1"/>
    <x v="2"/>
  </r>
  <r>
    <n v="158"/>
    <x v="12"/>
    <n v="0.47"/>
    <n v="0.1045"/>
    <x v="5"/>
    <x v="54"/>
    <n v="51"/>
    <x v="0"/>
    <x v="2"/>
  </r>
  <r>
    <n v="159"/>
    <x v="13"/>
    <n v="0.47"/>
    <n v="0.1343"/>
    <x v="3"/>
    <x v="87"/>
    <n v="39"/>
    <x v="1"/>
    <x v="2"/>
  </r>
  <r>
    <n v="160"/>
    <x v="13"/>
    <n v="0.43"/>
    <n v="0.16420000000000001"/>
    <x v="4"/>
    <x v="60"/>
    <n v="36"/>
    <x v="1"/>
    <x v="2"/>
  </r>
  <r>
    <n v="161"/>
    <x v="13"/>
    <n v="0.51"/>
    <n v="0.16420000000000001"/>
    <x v="5"/>
    <x v="88"/>
    <n v="15"/>
    <x v="1"/>
    <x v="2"/>
  </r>
  <r>
    <n v="162"/>
    <x v="13"/>
    <n v="0.51"/>
    <n v="0.16420000000000001"/>
    <x v="5"/>
    <x v="9"/>
    <n v="25"/>
    <x v="1"/>
    <x v="2"/>
  </r>
  <r>
    <n v="163"/>
    <x v="12"/>
    <n v="0.55000000000000004"/>
    <n v="8.9599999999999999E-2"/>
    <x v="5"/>
    <x v="89"/>
    <n v="16"/>
    <x v="0"/>
    <x v="2"/>
  </r>
  <r>
    <n v="164"/>
    <x v="19"/>
    <n v="0.55000000000000004"/>
    <n v="0"/>
    <x v="0"/>
    <x v="0"/>
    <n v="16"/>
    <x v="0"/>
    <x v="2"/>
  </r>
  <r>
    <n v="165"/>
    <x v="13"/>
    <n v="0.55000000000000004"/>
    <n v="0.16420000000000001"/>
    <x v="3"/>
    <x v="7"/>
    <n v="7"/>
    <x v="1"/>
    <x v="2"/>
  </r>
  <r>
    <n v="166"/>
    <x v="13"/>
    <n v="0.55000000000000004"/>
    <n v="0.16420000000000001"/>
    <x v="3"/>
    <x v="4"/>
    <n v="1"/>
    <x v="1"/>
    <x v="2"/>
  </r>
  <r>
    <n v="167"/>
    <x v="17"/>
    <n v="0.74"/>
    <n v="0.16420000000000001"/>
    <x v="3"/>
    <x v="34"/>
    <n v="5"/>
    <x v="1"/>
    <x v="1"/>
  </r>
  <r>
    <n v="168"/>
    <x v="17"/>
    <n v="0.74"/>
    <n v="0.16420000000000001"/>
    <x v="3"/>
    <x v="6"/>
    <n v="2"/>
    <x v="1"/>
    <x v="1"/>
  </r>
  <r>
    <n v="169"/>
    <x v="18"/>
    <n v="0.74"/>
    <n v="0.1045"/>
    <x v="5"/>
    <x v="21"/>
    <n v="9"/>
    <x v="1"/>
    <x v="1"/>
  </r>
  <r>
    <n v="170"/>
    <x v="18"/>
    <n v="0.93"/>
    <n v="0.1045"/>
    <x v="3"/>
    <x v="89"/>
    <n v="15"/>
    <x v="1"/>
    <x v="0"/>
  </r>
  <r>
    <n v="171"/>
    <x v="18"/>
    <n v="0.93"/>
    <n v="0.1045"/>
    <x v="3"/>
    <x v="32"/>
    <n v="20"/>
    <x v="1"/>
    <x v="0"/>
  </r>
  <r>
    <n v="172"/>
    <x v="13"/>
    <n v="0.8"/>
    <n v="0.16420000000000001"/>
    <x v="2"/>
    <x v="90"/>
    <n v="61"/>
    <x v="1"/>
    <x v="0"/>
  </r>
  <r>
    <n v="173"/>
    <x v="18"/>
    <n v="0.69"/>
    <n v="0.3881"/>
    <x v="4"/>
    <x v="91"/>
    <n v="62"/>
    <x v="1"/>
    <x v="1"/>
  </r>
  <r>
    <n v="174"/>
    <x v="18"/>
    <n v="0.59"/>
    <n v="0.35820000000000002"/>
    <x v="1"/>
    <x v="92"/>
    <n v="98"/>
    <x v="1"/>
    <x v="2"/>
  </r>
  <r>
    <n v="175"/>
    <x v="18"/>
    <n v="0.44"/>
    <n v="0.32840000000000003"/>
    <x v="18"/>
    <x v="73"/>
    <n v="102"/>
    <x v="1"/>
    <x v="2"/>
  </r>
  <r>
    <n v="176"/>
    <x v="17"/>
    <n v="0.32"/>
    <n v="0.49249999999999999"/>
    <x v="6"/>
    <x v="93"/>
    <n v="95"/>
    <x v="1"/>
    <x v="3"/>
  </r>
  <r>
    <n v="177"/>
    <x v="17"/>
    <n v="0.32"/>
    <n v="0.44779999999999998"/>
    <x v="2"/>
    <x v="94"/>
    <n v="74"/>
    <x v="1"/>
    <x v="3"/>
  </r>
  <r>
    <n v="178"/>
    <x v="14"/>
    <n v="0.28999999999999998"/>
    <n v="0.44779999999999998"/>
    <x v="1"/>
    <x v="56"/>
    <n v="76"/>
    <x v="1"/>
    <x v="3"/>
  </r>
  <r>
    <n v="179"/>
    <x v="16"/>
    <n v="0.37"/>
    <n v="0.55220000000000002"/>
    <x v="2"/>
    <x v="27"/>
    <n v="69"/>
    <x v="1"/>
    <x v="3"/>
  </r>
  <r>
    <n v="180"/>
    <x v="16"/>
    <n v="0.39"/>
    <n v="0.29849999999999999"/>
    <x v="0"/>
    <x v="15"/>
    <n v="55"/>
    <x v="1"/>
    <x v="3"/>
  </r>
  <r>
    <n v="181"/>
    <x v="16"/>
    <n v="0.36"/>
    <n v="0.25369999999999998"/>
    <x v="17"/>
    <x v="16"/>
    <n v="30"/>
    <x v="1"/>
    <x v="3"/>
  </r>
  <r>
    <n v="182"/>
    <x v="16"/>
    <n v="0.36"/>
    <n v="0.25369999999999998"/>
    <x v="3"/>
    <x v="95"/>
    <n v="28"/>
    <x v="1"/>
    <x v="3"/>
  </r>
  <r>
    <n v="183"/>
    <x v="15"/>
    <n v="0.39"/>
    <n v="0.35820000000000002"/>
    <x v="4"/>
    <x v="96"/>
    <n v="37"/>
    <x v="1"/>
    <x v="3"/>
  </r>
  <r>
    <n v="184"/>
    <x v="15"/>
    <n v="0.36"/>
    <n v="0.3881"/>
    <x v="5"/>
    <x v="39"/>
    <n v="34"/>
    <x v="1"/>
    <x v="3"/>
  </r>
  <r>
    <n v="185"/>
    <x v="22"/>
    <n v="0.39"/>
    <n v="0.44779999999999998"/>
    <x v="3"/>
    <x v="97"/>
    <n v="22"/>
    <x v="1"/>
    <x v="3"/>
  </r>
  <r>
    <n v="186"/>
    <x v="23"/>
    <n v="0.42"/>
    <n v="0.3881"/>
    <x v="5"/>
    <x v="9"/>
    <n v="25"/>
    <x v="1"/>
    <x v="2"/>
  </r>
  <r>
    <n v="187"/>
    <x v="22"/>
    <n v="0.42"/>
    <n v="0.4627"/>
    <x v="3"/>
    <x v="98"/>
    <n v="12"/>
    <x v="1"/>
    <x v="2"/>
  </r>
  <r>
    <n v="188"/>
    <x v="22"/>
    <n v="0.46"/>
    <n v="0.4627"/>
    <x v="3"/>
    <x v="48"/>
    <n v="11"/>
    <x v="1"/>
    <x v="2"/>
  </r>
  <r>
    <n v="189"/>
    <x v="23"/>
    <n v="0.46"/>
    <n v="0.41789999999999999"/>
    <x v="3"/>
    <x v="22"/>
    <n v="4"/>
    <x v="1"/>
    <x v="2"/>
  </r>
  <r>
    <n v="190"/>
    <x v="24"/>
    <n v="0.53"/>
    <n v="0.19400000000000001"/>
    <x v="3"/>
    <x v="4"/>
    <n v="1"/>
    <x v="1"/>
    <x v="2"/>
  </r>
  <r>
    <n v="191"/>
    <x v="24"/>
    <n v="0.53"/>
    <n v="0.19400000000000001"/>
    <x v="3"/>
    <x v="4"/>
    <n v="1"/>
    <x v="1"/>
    <x v="2"/>
  </r>
  <r>
    <n v="192"/>
    <x v="24"/>
    <n v="0.49"/>
    <n v="0.28360000000000002"/>
    <x v="3"/>
    <x v="4"/>
    <n v="1"/>
    <x v="1"/>
    <x v="2"/>
  </r>
  <r>
    <n v="193"/>
    <x v="24"/>
    <n v="0.53"/>
    <n v="0.19400000000000001"/>
    <x v="5"/>
    <x v="34"/>
    <n v="6"/>
    <x v="1"/>
    <x v="2"/>
  </r>
  <r>
    <n v="194"/>
    <x v="24"/>
    <n v="0.49"/>
    <n v="0.28360000000000002"/>
    <x v="3"/>
    <x v="3"/>
    <n v="10"/>
    <x v="1"/>
    <x v="2"/>
  </r>
  <r>
    <n v="195"/>
    <x v="23"/>
    <n v="0.46"/>
    <n v="0.52239999999999998"/>
    <x v="3"/>
    <x v="23"/>
    <n v="19"/>
    <x v="1"/>
    <x v="2"/>
  </r>
  <r>
    <n v="196"/>
    <x v="15"/>
    <n v="0.43"/>
    <n v="0.3881"/>
    <x v="3"/>
    <x v="47"/>
    <n v="49"/>
    <x v="1"/>
    <x v="2"/>
  </r>
  <r>
    <n v="197"/>
    <x v="16"/>
    <n v="0.4"/>
    <n v="0.52239999999999998"/>
    <x v="4"/>
    <x v="12"/>
    <n v="49"/>
    <x v="1"/>
    <x v="2"/>
  </r>
  <r>
    <n v="198"/>
    <x v="14"/>
    <n v="0.37"/>
    <n v="0.44779999999999998"/>
    <x v="17"/>
    <x v="55"/>
    <n v="83"/>
    <x v="1"/>
    <x v="3"/>
  </r>
  <r>
    <n v="199"/>
    <x v="17"/>
    <n v="0.34"/>
    <n v="0.44779999999999998"/>
    <x v="15"/>
    <x v="94"/>
    <n v="75"/>
    <x v="1"/>
    <x v="3"/>
  </r>
  <r>
    <n v="200"/>
    <x v="18"/>
    <n v="0.32"/>
    <n v="0.4627"/>
    <x v="1"/>
    <x v="27"/>
    <n v="72"/>
    <x v="1"/>
    <x v="3"/>
  </r>
  <r>
    <n v="201"/>
    <x v="13"/>
    <n v="0.35"/>
    <n v="0.35820000000000002"/>
    <x v="2"/>
    <x v="99"/>
    <n v="82"/>
    <x v="1"/>
    <x v="3"/>
  </r>
  <r>
    <n v="202"/>
    <x v="17"/>
    <n v="0.34"/>
    <n v="0.44779999999999998"/>
    <x v="23"/>
    <x v="55"/>
    <n v="92"/>
    <x v="1"/>
    <x v="3"/>
  </r>
  <r>
    <n v="203"/>
    <x v="20"/>
    <n v="0.37"/>
    <n v="0.3881"/>
    <x v="0"/>
    <x v="79"/>
    <n v="62"/>
    <x v="1"/>
    <x v="3"/>
  </r>
  <r>
    <n v="204"/>
    <x v="14"/>
    <n v="0.4"/>
    <n v="0.32840000000000003"/>
    <x v="17"/>
    <x v="100"/>
    <n v="48"/>
    <x v="1"/>
    <x v="2"/>
  </r>
  <r>
    <n v="205"/>
    <x v="14"/>
    <n v="0.43"/>
    <n v="0.32840000000000003"/>
    <x v="5"/>
    <x v="71"/>
    <n v="41"/>
    <x v="1"/>
    <x v="2"/>
  </r>
  <r>
    <n v="206"/>
    <x v="16"/>
    <n v="0.46"/>
    <n v="0.25369999999999998"/>
    <x v="3"/>
    <x v="101"/>
    <n v="38"/>
    <x v="1"/>
    <x v="2"/>
  </r>
  <r>
    <n v="207"/>
    <x v="15"/>
    <n v="0.46"/>
    <n v="0.41789999999999999"/>
    <x v="5"/>
    <x v="23"/>
    <n v="20"/>
    <x v="1"/>
    <x v="2"/>
  </r>
  <r>
    <n v="208"/>
    <x v="16"/>
    <n v="0.46"/>
    <n v="0.29849999999999999"/>
    <x v="2"/>
    <x v="3"/>
    <n v="15"/>
    <x v="1"/>
    <x v="2"/>
  </r>
  <r>
    <n v="209"/>
    <x v="14"/>
    <n v="0.5"/>
    <n v="0.19400000000000001"/>
    <x v="3"/>
    <x v="8"/>
    <n v="6"/>
    <x v="1"/>
    <x v="2"/>
  </r>
  <r>
    <n v="210"/>
    <x v="16"/>
    <n v="0.5"/>
    <n v="0.28360000000000002"/>
    <x v="4"/>
    <x v="35"/>
    <n v="5"/>
    <x v="1"/>
    <x v="2"/>
  </r>
  <r>
    <n v="211"/>
    <x v="16"/>
    <n v="0.5"/>
    <n v="0.28360000000000002"/>
    <x v="5"/>
    <x v="5"/>
    <n v="1"/>
    <x v="1"/>
    <x v="2"/>
  </r>
  <r>
    <n v="212"/>
    <x v="16"/>
    <n v="0.5"/>
    <n v="0.22389999999999999"/>
    <x v="3"/>
    <x v="35"/>
    <n v="3"/>
    <x v="1"/>
    <x v="2"/>
  </r>
  <r>
    <n v="213"/>
    <x v="16"/>
    <n v="0.5"/>
    <n v="0.22389999999999999"/>
    <x v="3"/>
    <x v="4"/>
    <n v="1"/>
    <x v="1"/>
    <x v="2"/>
  </r>
  <r>
    <n v="214"/>
    <x v="16"/>
    <n v="0.54"/>
    <n v="0.1343"/>
    <x v="5"/>
    <x v="6"/>
    <n v="3"/>
    <x v="1"/>
    <x v="2"/>
  </r>
  <r>
    <n v="215"/>
    <x v="15"/>
    <n v="0.54"/>
    <n v="0.25369999999999998"/>
    <x v="3"/>
    <x v="35"/>
    <n v="3"/>
    <x v="1"/>
    <x v="2"/>
  </r>
  <r>
    <n v="216"/>
    <x v="16"/>
    <n v="0.5"/>
    <n v="0.28360000000000002"/>
    <x v="3"/>
    <x v="17"/>
    <n v="31"/>
    <x v="1"/>
    <x v="2"/>
  </r>
  <r>
    <n v="217"/>
    <x v="16"/>
    <n v="0.5"/>
    <n v="0.22389999999999999"/>
    <x v="4"/>
    <x v="102"/>
    <n v="77"/>
    <x v="1"/>
    <x v="2"/>
  </r>
  <r>
    <n v="218"/>
    <x v="16"/>
    <n v="0.5"/>
    <n v="0.28360000000000002"/>
    <x v="17"/>
    <x v="103"/>
    <n v="188"/>
    <x v="1"/>
    <x v="2"/>
  </r>
  <r>
    <n v="219"/>
    <x v="16"/>
    <n v="0.5"/>
    <n v="0.25369999999999998"/>
    <x v="4"/>
    <x v="50"/>
    <n v="94"/>
    <x v="1"/>
    <x v="2"/>
  </r>
  <r>
    <n v="220"/>
    <x v="16"/>
    <n v="0.5"/>
    <n v="0.29849999999999999"/>
    <x v="3"/>
    <x v="17"/>
    <n v="31"/>
    <x v="1"/>
    <x v="2"/>
  </r>
  <r>
    <n v="221"/>
    <x v="14"/>
    <n v="0.47"/>
    <n v="0.28360000000000002"/>
    <x v="4"/>
    <x v="95"/>
    <n v="30"/>
    <x v="1"/>
    <x v="2"/>
  </r>
  <r>
    <n v="222"/>
    <x v="18"/>
    <n v="0.4"/>
    <n v="0.28360000000000002"/>
    <x v="2"/>
    <x v="12"/>
    <n v="52"/>
    <x v="1"/>
    <x v="2"/>
  </r>
  <r>
    <n v="223"/>
    <x v="18"/>
    <n v="0.4"/>
    <n v="0.28360000000000002"/>
    <x v="17"/>
    <x v="54"/>
    <n v="54"/>
    <x v="1"/>
    <x v="2"/>
  </r>
  <r>
    <n v="224"/>
    <x v="13"/>
    <n v="0.4"/>
    <n v="0.22389999999999999"/>
    <x v="3"/>
    <x v="12"/>
    <n v="47"/>
    <x v="1"/>
    <x v="2"/>
  </r>
  <r>
    <n v="225"/>
    <x v="13"/>
    <n v="0.4"/>
    <n v="0.22389999999999999"/>
    <x v="4"/>
    <x v="30"/>
    <n v="45"/>
    <x v="1"/>
    <x v="2"/>
  </r>
  <r>
    <n v="226"/>
    <x v="12"/>
    <n v="0.4"/>
    <n v="0.1343"/>
    <x v="17"/>
    <x v="14"/>
    <n v="74"/>
    <x v="0"/>
    <x v="2"/>
  </r>
  <r>
    <n v="227"/>
    <x v="11"/>
    <n v="0.4"/>
    <n v="0.1045"/>
    <x v="17"/>
    <x v="104"/>
    <n v="178"/>
    <x v="0"/>
    <x v="2"/>
  </r>
  <r>
    <n v="228"/>
    <x v="13"/>
    <n v="0.4"/>
    <n v="0.22389999999999999"/>
    <x v="5"/>
    <x v="105"/>
    <n v="155"/>
    <x v="1"/>
    <x v="2"/>
  </r>
  <r>
    <n v="229"/>
    <x v="17"/>
    <n v="0.47"/>
    <n v="0.16420000000000001"/>
    <x v="0"/>
    <x v="50"/>
    <n v="95"/>
    <x v="1"/>
    <x v="2"/>
  </r>
  <r>
    <n v="230"/>
    <x v="17"/>
    <n v="0.5"/>
    <n v="0.16420000000000001"/>
    <x v="5"/>
    <x v="26"/>
    <n v="74"/>
    <x v="1"/>
    <x v="2"/>
  </r>
  <r>
    <n v="231"/>
    <x v="14"/>
    <n v="0.59"/>
    <n v="0.19400000000000001"/>
    <x v="5"/>
    <x v="53"/>
    <n v="38"/>
    <x v="1"/>
    <x v="2"/>
  </r>
  <r>
    <n v="232"/>
    <x v="20"/>
    <n v="0.59"/>
    <n v="0.16420000000000001"/>
    <x v="4"/>
    <x v="97"/>
    <n v="24"/>
    <x v="1"/>
    <x v="2"/>
  </r>
  <r>
    <n v="233"/>
    <x v="20"/>
    <n v="0.59"/>
    <n v="0.16420000000000001"/>
    <x v="3"/>
    <x v="72"/>
    <n v="18"/>
    <x v="1"/>
    <x v="2"/>
  </r>
  <r>
    <n v="234"/>
    <x v="17"/>
    <n v="0.59"/>
    <n v="0.1045"/>
    <x v="4"/>
    <x v="3"/>
    <n v="12"/>
    <x v="1"/>
    <x v="2"/>
  </r>
  <r>
    <n v="235"/>
    <x v="20"/>
    <n v="0.59"/>
    <n v="0.16420000000000001"/>
    <x v="3"/>
    <x v="35"/>
    <n v="3"/>
    <x v="1"/>
    <x v="2"/>
  </r>
  <r>
    <n v="236"/>
    <x v="20"/>
    <n v="0.55000000000000004"/>
    <n v="0.19400000000000001"/>
    <x v="3"/>
    <x v="35"/>
    <n v="3"/>
    <x v="1"/>
    <x v="2"/>
  </r>
  <r>
    <n v="237"/>
    <x v="18"/>
    <n v="0.55000000000000004"/>
    <n v="0.1343"/>
    <x v="3"/>
    <x v="8"/>
    <n v="6"/>
    <x v="1"/>
    <x v="2"/>
  </r>
  <r>
    <n v="238"/>
    <x v="18"/>
    <n v="0.55000000000000004"/>
    <n v="0.1343"/>
    <x v="3"/>
    <x v="2"/>
    <n v="27"/>
    <x v="1"/>
    <x v="2"/>
  </r>
  <r>
    <n v="239"/>
    <x v="11"/>
    <n v="0.55000000000000004"/>
    <n v="0"/>
    <x v="4"/>
    <x v="106"/>
    <n v="99"/>
    <x v="0"/>
    <x v="2"/>
  </r>
  <r>
    <n v="240"/>
    <x v="12"/>
    <n v="0.51"/>
    <n v="8.9599999999999999E-2"/>
    <x v="0"/>
    <x v="107"/>
    <n v="217"/>
    <x v="0"/>
    <x v="2"/>
  </r>
  <r>
    <n v="241"/>
    <x v="13"/>
    <n v="0.51"/>
    <n v="0.16420000000000001"/>
    <x v="0"/>
    <x v="69"/>
    <n v="130"/>
    <x v="1"/>
    <x v="2"/>
  </r>
  <r>
    <n v="242"/>
    <x v="12"/>
    <n v="0.51"/>
    <n v="0.16420000000000001"/>
    <x v="0"/>
    <x v="82"/>
    <n v="54"/>
    <x v="0"/>
    <x v="2"/>
  </r>
  <r>
    <n v="243"/>
    <x v="12"/>
    <n v="0.47"/>
    <n v="0.1343"/>
    <x v="17"/>
    <x v="17"/>
    <n v="35"/>
    <x v="0"/>
    <x v="2"/>
  </r>
  <r>
    <n v="244"/>
    <x v="11"/>
    <n v="0.51"/>
    <n v="0.1045"/>
    <x v="4"/>
    <x v="11"/>
    <n v="57"/>
    <x v="0"/>
    <x v="2"/>
  </r>
  <r>
    <n v="245"/>
    <x v="11"/>
    <n v="0.59"/>
    <n v="8.9599999999999999E-2"/>
    <x v="15"/>
    <x v="24"/>
    <n v="52"/>
    <x v="0"/>
    <x v="2"/>
  </r>
  <r>
    <n v="246"/>
    <x v="11"/>
    <n v="0.59"/>
    <n v="8.9599999999999999E-2"/>
    <x v="0"/>
    <x v="91"/>
    <n v="63"/>
    <x v="0"/>
    <x v="2"/>
  </r>
  <r>
    <n v="247"/>
    <x v="13"/>
    <n v="0.8"/>
    <n v="8.9599999999999999E-2"/>
    <x v="4"/>
    <x v="108"/>
    <n v="47"/>
    <x v="1"/>
    <x v="0"/>
  </r>
  <r>
    <n v="248"/>
    <x v="20"/>
    <n v="0.86"/>
    <n v="0.22389999999999999"/>
    <x v="17"/>
    <x v="109"/>
    <n v="76"/>
    <x v="1"/>
    <x v="0"/>
  </r>
  <r>
    <n v="249"/>
    <x v="20"/>
    <n v="0.86"/>
    <n v="0.22389999999999999"/>
    <x v="15"/>
    <x v="110"/>
    <n v="136"/>
    <x v="1"/>
    <x v="0"/>
  </r>
  <r>
    <n v="250"/>
    <x v="18"/>
    <n v="0.93"/>
    <n v="0.1045"/>
    <x v="5"/>
    <x v="111"/>
    <n v="95"/>
    <x v="1"/>
    <x v="0"/>
  </r>
  <r>
    <n v="251"/>
    <x v="11"/>
    <n v="0.93"/>
    <n v="0"/>
    <x v="3"/>
    <x v="82"/>
    <n v="51"/>
    <x v="0"/>
    <x v="0"/>
  </r>
  <r>
    <n v="252"/>
    <x v="20"/>
    <n v="0.93"/>
    <n v="0.19400000000000001"/>
    <x v="3"/>
    <x v="1"/>
    <n v="32"/>
    <x v="1"/>
    <x v="0"/>
  </r>
  <r>
    <n v="253"/>
    <x v="13"/>
    <n v="0.86"/>
    <n v="8.9599999999999999E-2"/>
    <x v="3"/>
    <x v="32"/>
    <n v="20"/>
    <x v="1"/>
    <x v="0"/>
  </r>
  <r>
    <n v="254"/>
    <x v="18"/>
    <n v="0.93"/>
    <n v="0.1045"/>
    <x v="5"/>
    <x v="95"/>
    <n v="29"/>
    <x v="1"/>
    <x v="0"/>
  </r>
  <r>
    <n v="255"/>
    <x v="13"/>
    <n v="0.93"/>
    <n v="8.9599999999999999E-2"/>
    <x v="5"/>
    <x v="72"/>
    <n v="19"/>
    <x v="1"/>
    <x v="0"/>
  </r>
  <r>
    <n v="256"/>
    <x v="13"/>
    <n v="0.86"/>
    <n v="8.9599999999999999E-2"/>
    <x v="3"/>
    <x v="7"/>
    <n v="7"/>
    <x v="1"/>
    <x v="0"/>
  </r>
  <r>
    <n v="257"/>
    <x v="18"/>
    <n v="0.86"/>
    <n v="0.1045"/>
    <x v="3"/>
    <x v="8"/>
    <n v="6"/>
    <x v="1"/>
    <x v="0"/>
  </r>
  <r>
    <n v="258"/>
    <x v="20"/>
    <n v="0.86"/>
    <n v="0.1343"/>
    <x v="3"/>
    <x v="4"/>
    <n v="1"/>
    <x v="1"/>
    <x v="0"/>
  </r>
  <r>
    <n v="259"/>
    <x v="20"/>
    <n v="0.86"/>
    <n v="0.16420000000000001"/>
    <x v="3"/>
    <x v="34"/>
    <n v="5"/>
    <x v="1"/>
    <x v="0"/>
  </r>
  <r>
    <n v="260"/>
    <x v="20"/>
    <n v="0.93"/>
    <n v="0.1343"/>
    <x v="3"/>
    <x v="20"/>
    <n v="16"/>
    <x v="1"/>
    <x v="0"/>
  </r>
  <r>
    <n v="261"/>
    <x v="20"/>
    <n v="0.69"/>
    <n v="0.1343"/>
    <x v="3"/>
    <x v="25"/>
    <n v="54"/>
    <x v="1"/>
    <x v="1"/>
  </r>
  <r>
    <n v="262"/>
    <x v="17"/>
    <n v="0.59"/>
    <n v="0.16420000000000001"/>
    <x v="0"/>
    <x v="85"/>
    <n v="128"/>
    <x v="1"/>
    <x v="2"/>
  </r>
  <r>
    <n v="263"/>
    <x v="14"/>
    <n v="0.59"/>
    <n v="0.32840000000000003"/>
    <x v="0"/>
    <x v="78"/>
    <n v="81"/>
    <x v="1"/>
    <x v="2"/>
  </r>
  <r>
    <n v="264"/>
    <x v="18"/>
    <n v="0.55000000000000004"/>
    <n v="0.22389999999999999"/>
    <x v="3"/>
    <x v="87"/>
    <n v="39"/>
    <x v="1"/>
    <x v="2"/>
  </r>
  <r>
    <n v="265"/>
    <x v="18"/>
    <n v="0.51"/>
    <n v="0.3881"/>
    <x v="0"/>
    <x v="1"/>
    <n v="35"/>
    <x v="1"/>
    <x v="2"/>
  </r>
  <r>
    <n v="266"/>
    <x v="20"/>
    <n v="0.47"/>
    <n v="0.58209999999999995"/>
    <x v="0"/>
    <x v="15"/>
    <n v="55"/>
    <x v="1"/>
    <x v="2"/>
  </r>
  <r>
    <n v="267"/>
    <x v="13"/>
    <n v="0.44"/>
    <n v="0.35820000000000002"/>
    <x v="3"/>
    <x v="47"/>
    <n v="49"/>
    <x v="1"/>
    <x v="2"/>
  </r>
  <r>
    <n v="268"/>
    <x v="18"/>
    <n v="0.47"/>
    <n v="0.32840000000000003"/>
    <x v="3"/>
    <x v="100"/>
    <n v="44"/>
    <x v="1"/>
    <x v="2"/>
  </r>
  <r>
    <n v="269"/>
    <x v="17"/>
    <n v="0.47"/>
    <n v="0.41789999999999999"/>
    <x v="5"/>
    <x v="41"/>
    <n v="49"/>
    <x v="1"/>
    <x v="2"/>
  </r>
  <r>
    <n v="270"/>
    <x v="13"/>
    <n v="0.44"/>
    <n v="0.32840000000000003"/>
    <x v="2"/>
    <x v="36"/>
    <n v="68"/>
    <x v="1"/>
    <x v="2"/>
  </r>
  <r>
    <n v="271"/>
    <x v="18"/>
    <n v="0.47"/>
    <n v="0.35820000000000002"/>
    <x v="3"/>
    <x v="112"/>
    <n v="139"/>
    <x v="1"/>
    <x v="2"/>
  </r>
  <r>
    <n v="272"/>
    <x v="20"/>
    <n v="0.47"/>
    <n v="0.52239999999999998"/>
    <x v="4"/>
    <x v="113"/>
    <n v="137"/>
    <x v="1"/>
    <x v="2"/>
  </r>
  <r>
    <n v="273"/>
    <x v="20"/>
    <n v="0.47"/>
    <n v="0.41789999999999999"/>
    <x v="5"/>
    <x v="70"/>
    <n v="83"/>
    <x v="1"/>
    <x v="2"/>
  </r>
  <r>
    <n v="274"/>
    <x v="14"/>
    <n v="0.5"/>
    <n v="0.32840000000000003"/>
    <x v="4"/>
    <x v="25"/>
    <n v="56"/>
    <x v="1"/>
    <x v="2"/>
  </r>
  <r>
    <n v="275"/>
    <x v="14"/>
    <n v="0.55000000000000004"/>
    <n v="0.32840000000000003"/>
    <x v="3"/>
    <x v="77"/>
    <n v="57"/>
    <x v="1"/>
    <x v="2"/>
  </r>
  <r>
    <n v="276"/>
    <x v="16"/>
    <n v="0.55000000000000004"/>
    <n v="0.44779999999999998"/>
    <x v="5"/>
    <x v="1"/>
    <n v="33"/>
    <x v="1"/>
    <x v="2"/>
  </r>
  <r>
    <n v="277"/>
    <x v="15"/>
    <n v="0.59"/>
    <n v="0.41789999999999999"/>
    <x v="5"/>
    <x v="23"/>
    <n v="20"/>
    <x v="1"/>
    <x v="2"/>
  </r>
  <r>
    <n v="278"/>
    <x v="16"/>
    <n v="0.59"/>
    <n v="0.28360000000000002"/>
    <x v="5"/>
    <x v="8"/>
    <n v="7"/>
    <x v="1"/>
    <x v="2"/>
  </r>
  <r>
    <n v="279"/>
    <x v="16"/>
    <n v="0.5"/>
    <n v="0.28360000000000002"/>
    <x v="3"/>
    <x v="6"/>
    <n v="2"/>
    <x v="1"/>
    <x v="2"/>
  </r>
  <r>
    <n v="280"/>
    <x v="16"/>
    <n v="0.5"/>
    <n v="0.35820000000000002"/>
    <x v="3"/>
    <x v="6"/>
    <n v="2"/>
    <x v="1"/>
    <x v="2"/>
  </r>
  <r>
    <n v="281"/>
    <x v="16"/>
    <n v="0.5"/>
    <n v="0.32840000000000003"/>
    <x v="3"/>
    <x v="35"/>
    <n v="3"/>
    <x v="1"/>
    <x v="2"/>
  </r>
  <r>
    <n v="282"/>
    <x v="16"/>
    <n v="0.5"/>
    <n v="0.25369999999999998"/>
    <x v="3"/>
    <x v="22"/>
    <n v="4"/>
    <x v="1"/>
    <x v="2"/>
  </r>
  <r>
    <n v="283"/>
    <x v="16"/>
    <n v="0.5"/>
    <n v="0.29849999999999999"/>
    <x v="3"/>
    <x v="35"/>
    <n v="3"/>
    <x v="1"/>
    <x v="2"/>
  </r>
  <r>
    <n v="284"/>
    <x v="20"/>
    <n v="0.54"/>
    <n v="0.1343"/>
    <x v="3"/>
    <x v="95"/>
    <n v="28"/>
    <x v="1"/>
    <x v="2"/>
  </r>
  <r>
    <n v="285"/>
    <x v="20"/>
    <n v="0.54"/>
    <n v="0.1343"/>
    <x v="3"/>
    <x v="109"/>
    <n v="72"/>
    <x v="1"/>
    <x v="2"/>
  </r>
  <r>
    <n v="286"/>
    <x v="14"/>
    <n v="0.5"/>
    <n v="0.19400000000000001"/>
    <x v="2"/>
    <x v="114"/>
    <n v="202"/>
    <x v="1"/>
    <x v="2"/>
  </r>
  <r>
    <n v="287"/>
    <x v="16"/>
    <n v="0.5"/>
    <n v="0.32840000000000003"/>
    <x v="4"/>
    <x v="115"/>
    <n v="139"/>
    <x v="1"/>
    <x v="2"/>
  </r>
  <r>
    <n v="288"/>
    <x v="14"/>
    <n v="0.5"/>
    <n v="0.35820000000000002"/>
    <x v="4"/>
    <x v="49"/>
    <n v="38"/>
    <x v="1"/>
    <x v="2"/>
  </r>
  <r>
    <n v="289"/>
    <x v="17"/>
    <n v="0.44"/>
    <n v="0.44779999999999998"/>
    <x v="17"/>
    <x v="39"/>
    <n v="37"/>
    <x v="1"/>
    <x v="2"/>
  </r>
  <r>
    <n v="290"/>
    <x v="17"/>
    <n v="0.44"/>
    <n v="0.41789999999999999"/>
    <x v="0"/>
    <x v="47"/>
    <n v="52"/>
    <x v="1"/>
    <x v="2"/>
  </r>
  <r>
    <n v="291"/>
    <x v="13"/>
    <n v="0.41"/>
    <n v="0.44779999999999998"/>
    <x v="4"/>
    <x v="38"/>
    <n v="83"/>
    <x v="1"/>
    <x v="2"/>
  </r>
  <r>
    <n v="292"/>
    <x v="13"/>
    <n v="0.41"/>
    <n v="0.3881"/>
    <x v="0"/>
    <x v="87"/>
    <n v="42"/>
    <x v="1"/>
    <x v="2"/>
  </r>
  <r>
    <n v="293"/>
    <x v="12"/>
    <n v="0.38"/>
    <n v="0.29849999999999999"/>
    <x v="2"/>
    <x v="11"/>
    <n v="60"/>
    <x v="0"/>
    <x v="3"/>
  </r>
  <r>
    <n v="294"/>
    <x v="12"/>
    <n v="0.38"/>
    <n v="0.35820000000000002"/>
    <x v="4"/>
    <x v="83"/>
    <n v="78"/>
    <x v="0"/>
    <x v="3"/>
  </r>
  <r>
    <n v="295"/>
    <x v="18"/>
    <n v="0.4"/>
    <n v="0.28360000000000002"/>
    <x v="17"/>
    <x v="81"/>
    <n v="162"/>
    <x v="1"/>
    <x v="2"/>
  </r>
  <r>
    <n v="296"/>
    <x v="18"/>
    <n v="0.4"/>
    <n v="0.32840000000000003"/>
    <x v="0"/>
    <x v="116"/>
    <n v="144"/>
    <x v="1"/>
    <x v="2"/>
  </r>
  <r>
    <n v="297"/>
    <x v="20"/>
    <n v="0.47"/>
    <n v="0.25369999999999998"/>
    <x v="5"/>
    <x v="52"/>
    <n v="99"/>
    <x v="1"/>
    <x v="2"/>
  </r>
  <r>
    <n v="298"/>
    <x v="20"/>
    <n v="0.47"/>
    <n v="0.22389999999999999"/>
    <x v="3"/>
    <x v="27"/>
    <n v="64"/>
    <x v="1"/>
    <x v="2"/>
  </r>
  <r>
    <n v="299"/>
    <x v="16"/>
    <n v="0.46"/>
    <n v="0.29849999999999999"/>
    <x v="3"/>
    <x v="71"/>
    <n v="40"/>
    <x v="1"/>
    <x v="2"/>
  </r>
  <r>
    <n v="300"/>
    <x v="16"/>
    <n v="0.46"/>
    <n v="0.32840000000000003"/>
    <x v="3"/>
    <x v="10"/>
    <n v="30"/>
    <x v="1"/>
    <x v="2"/>
  </r>
  <r>
    <n v="301"/>
    <x v="14"/>
    <n v="0.5"/>
    <n v="0.19400000000000001"/>
    <x v="5"/>
    <x v="88"/>
    <n v="15"/>
    <x v="1"/>
    <x v="2"/>
  </r>
  <r>
    <n v="302"/>
    <x v="14"/>
    <n v="0.5"/>
    <n v="0.19400000000000001"/>
    <x v="3"/>
    <x v="88"/>
    <n v="14"/>
    <x v="1"/>
    <x v="2"/>
  </r>
  <r>
    <n v="303"/>
    <x v="16"/>
    <n v="0.54"/>
    <n v="0.16420000000000001"/>
    <x v="3"/>
    <x v="34"/>
    <n v="5"/>
    <x v="1"/>
    <x v="2"/>
  </r>
  <r>
    <n v="304"/>
    <x v="16"/>
    <n v="0.54"/>
    <n v="0.1343"/>
    <x v="3"/>
    <x v="4"/>
    <n v="1"/>
    <x v="1"/>
    <x v="2"/>
  </r>
  <r>
    <n v="305"/>
    <x v="14"/>
    <n v="0.54"/>
    <n v="0.1045"/>
    <x v="3"/>
    <x v="4"/>
    <n v="1"/>
    <x v="1"/>
    <x v="2"/>
  </r>
  <r>
    <n v="306"/>
    <x v="14"/>
    <n v="0.54"/>
    <n v="8.9599999999999999E-2"/>
    <x v="3"/>
    <x v="21"/>
    <n v="8"/>
    <x v="1"/>
    <x v="2"/>
  </r>
  <r>
    <n v="307"/>
    <x v="18"/>
    <n v="0.54"/>
    <n v="0"/>
    <x v="3"/>
    <x v="19"/>
    <n v="17"/>
    <x v="1"/>
    <x v="2"/>
  </r>
  <r>
    <n v="308"/>
    <x v="16"/>
    <n v="0.74"/>
    <n v="0.16420000000000001"/>
    <x v="3"/>
    <x v="14"/>
    <n v="70"/>
    <x v="1"/>
    <x v="1"/>
  </r>
  <r>
    <n v="309"/>
    <x v="17"/>
    <n v="0.68"/>
    <n v="0"/>
    <x v="4"/>
    <x v="117"/>
    <n v="158"/>
    <x v="1"/>
    <x v="1"/>
  </r>
  <r>
    <n v="310"/>
    <x v="20"/>
    <n v="0.69"/>
    <n v="0.1343"/>
    <x v="3"/>
    <x v="118"/>
    <n v="117"/>
    <x v="1"/>
    <x v="1"/>
  </r>
  <r>
    <n v="311"/>
    <x v="18"/>
    <n v="0.55000000000000004"/>
    <n v="0.19400000000000001"/>
    <x v="17"/>
    <x v="71"/>
    <n v="44"/>
    <x v="1"/>
    <x v="2"/>
  </r>
  <r>
    <n v="312"/>
    <x v="17"/>
    <n v="0.51"/>
    <n v="0.28360000000000002"/>
    <x v="15"/>
    <x v="12"/>
    <n v="53"/>
    <x v="1"/>
    <x v="2"/>
  </r>
  <r>
    <n v="313"/>
    <x v="13"/>
    <n v="0.44"/>
    <n v="0.25369999999999998"/>
    <x v="4"/>
    <x v="79"/>
    <n v="61"/>
    <x v="1"/>
    <x v="2"/>
  </r>
  <r>
    <n v="314"/>
    <x v="13"/>
    <n v="0.37"/>
    <n v="0.3881"/>
    <x v="17"/>
    <x v="26"/>
    <n v="77"/>
    <x v="1"/>
    <x v="3"/>
  </r>
  <r>
    <n v="315"/>
    <x v="12"/>
    <n v="0.41"/>
    <n v="0.28360000000000002"/>
    <x v="2"/>
    <x v="79"/>
    <n v="64"/>
    <x v="0"/>
    <x v="2"/>
  </r>
  <r>
    <n v="316"/>
    <x v="19"/>
    <n v="0.38"/>
    <n v="0.16420000000000001"/>
    <x v="14"/>
    <x v="79"/>
    <n v="68"/>
    <x v="0"/>
    <x v="3"/>
  </r>
  <r>
    <n v="317"/>
    <x v="19"/>
    <n v="0.41"/>
    <n v="0.1045"/>
    <x v="0"/>
    <x v="61"/>
    <n v="90"/>
    <x v="0"/>
    <x v="2"/>
  </r>
  <r>
    <n v="318"/>
    <x v="11"/>
    <n v="0.41"/>
    <n v="0.16420000000000001"/>
    <x v="17"/>
    <x v="119"/>
    <n v="159"/>
    <x v="0"/>
    <x v="2"/>
  </r>
  <r>
    <n v="319"/>
    <x v="2"/>
    <n v="0.47"/>
    <n v="0"/>
    <x v="2"/>
    <x v="120"/>
    <n v="139"/>
    <x v="0"/>
    <x v="2"/>
  </r>
  <r>
    <n v="320"/>
    <x v="13"/>
    <n v="0.59"/>
    <n v="8.9599999999999999E-2"/>
    <x v="0"/>
    <x v="121"/>
    <n v="92"/>
    <x v="1"/>
    <x v="2"/>
  </r>
  <r>
    <n v="321"/>
    <x v="19"/>
    <n v="0.59"/>
    <n v="0"/>
    <x v="3"/>
    <x v="56"/>
    <n v="68"/>
    <x v="0"/>
    <x v="2"/>
  </r>
  <r>
    <n v="322"/>
    <x v="11"/>
    <n v="0.69"/>
    <n v="0"/>
    <x v="17"/>
    <x v="41"/>
    <n v="52"/>
    <x v="0"/>
    <x v="1"/>
  </r>
  <r>
    <n v="323"/>
    <x v="11"/>
    <n v="0.69"/>
    <n v="0"/>
    <x v="4"/>
    <x v="60"/>
    <n v="36"/>
    <x v="0"/>
    <x v="1"/>
  </r>
  <r>
    <n v="324"/>
    <x v="19"/>
    <n v="0.55000000000000004"/>
    <n v="0"/>
    <x v="5"/>
    <x v="16"/>
    <n v="27"/>
    <x v="0"/>
    <x v="2"/>
  </r>
  <r>
    <n v="325"/>
    <x v="19"/>
    <n v="0.55000000000000004"/>
    <n v="0"/>
    <x v="0"/>
    <x v="18"/>
    <n v="28"/>
    <x v="0"/>
    <x v="2"/>
  </r>
  <r>
    <n v="326"/>
    <x v="13"/>
    <n v="0.59"/>
    <n v="8.9599999999999999E-2"/>
    <x v="4"/>
    <x v="72"/>
    <n v="20"/>
    <x v="1"/>
    <x v="2"/>
  </r>
  <r>
    <n v="327"/>
    <x v="13"/>
    <n v="0.59"/>
    <n v="8.9599999999999999E-2"/>
    <x v="3"/>
    <x v="98"/>
    <n v="12"/>
    <x v="1"/>
    <x v="2"/>
  </r>
  <r>
    <n v="328"/>
    <x v="11"/>
    <n v="0.59"/>
    <n v="0"/>
    <x v="5"/>
    <x v="7"/>
    <n v="8"/>
    <x v="0"/>
    <x v="2"/>
  </r>
  <r>
    <n v="329"/>
    <x v="11"/>
    <n v="0.59"/>
    <n v="0"/>
    <x v="3"/>
    <x v="34"/>
    <n v="5"/>
    <x v="0"/>
    <x v="2"/>
  </r>
  <r>
    <n v="330"/>
    <x v="11"/>
    <n v="0.59"/>
    <n v="0"/>
    <x v="3"/>
    <x v="4"/>
    <n v="1"/>
    <x v="0"/>
    <x v="2"/>
  </r>
  <r>
    <n v="331"/>
    <x v="17"/>
    <n v="0.63"/>
    <n v="0.1045"/>
    <x v="5"/>
    <x v="6"/>
    <n v="3"/>
    <x v="1"/>
    <x v="1"/>
  </r>
  <r>
    <n v="332"/>
    <x v="12"/>
    <n v="0.63"/>
    <n v="0"/>
    <x v="5"/>
    <x v="33"/>
    <n v="10"/>
    <x v="0"/>
    <x v="1"/>
  </r>
  <r>
    <n v="333"/>
    <x v="20"/>
    <n v="0.63"/>
    <n v="0.1343"/>
    <x v="5"/>
    <x v="97"/>
    <n v="23"/>
    <x v="1"/>
    <x v="1"/>
  </r>
  <r>
    <n v="334"/>
    <x v="18"/>
    <n v="0.64"/>
    <n v="0.1343"/>
    <x v="4"/>
    <x v="17"/>
    <n v="33"/>
    <x v="1"/>
    <x v="1"/>
  </r>
  <r>
    <n v="335"/>
    <x v="13"/>
    <n v="0.59"/>
    <n v="0.16420000000000001"/>
    <x v="4"/>
    <x v="77"/>
    <n v="59"/>
    <x v="1"/>
    <x v="2"/>
  </r>
  <r>
    <n v="336"/>
    <x v="13"/>
    <n v="0.55000000000000004"/>
    <n v="0.22389999999999999"/>
    <x v="25"/>
    <x v="25"/>
    <n v="72"/>
    <x v="1"/>
    <x v="2"/>
  </r>
  <r>
    <n v="337"/>
    <x v="11"/>
    <n v="0.48"/>
    <n v="0.22389999999999999"/>
    <x v="13"/>
    <x v="64"/>
    <n v="89"/>
    <x v="0"/>
    <x v="2"/>
  </r>
  <r>
    <n v="338"/>
    <x v="2"/>
    <n v="0.38"/>
    <n v="0.29849999999999999"/>
    <x v="27"/>
    <x v="122"/>
    <n v="101"/>
    <x v="0"/>
    <x v="3"/>
  </r>
  <r>
    <n v="339"/>
    <x v="0"/>
    <n v="0.39"/>
    <n v="0.28360000000000002"/>
    <x v="7"/>
    <x v="50"/>
    <n v="118"/>
    <x v="0"/>
    <x v="3"/>
  </r>
  <r>
    <n v="340"/>
    <x v="21"/>
    <n v="0.36"/>
    <n v="0.19400000000000001"/>
    <x v="27"/>
    <x v="123"/>
    <n v="129"/>
    <x v="2"/>
    <x v="3"/>
  </r>
  <r>
    <n v="341"/>
    <x v="6"/>
    <n v="0.34"/>
    <n v="0.19400000000000001"/>
    <x v="28"/>
    <x v="73"/>
    <n v="128"/>
    <x v="2"/>
    <x v="3"/>
  </r>
  <r>
    <n v="342"/>
    <x v="25"/>
    <n v="0.36"/>
    <n v="0.28360000000000002"/>
    <x v="8"/>
    <x v="25"/>
    <n v="83"/>
    <x v="2"/>
    <x v="3"/>
  </r>
  <r>
    <n v="343"/>
    <x v="0"/>
    <n v="0.45"/>
    <n v="0.25369999999999998"/>
    <x v="13"/>
    <x v="94"/>
    <n v="84"/>
    <x v="0"/>
    <x v="2"/>
  </r>
  <r>
    <n v="344"/>
    <x v="25"/>
    <n v="0.39"/>
    <n v="0.25369999999999998"/>
    <x v="24"/>
    <x v="91"/>
    <n v="74"/>
    <x v="2"/>
    <x v="3"/>
  </r>
  <r>
    <n v="345"/>
    <x v="25"/>
    <n v="0.39"/>
    <n v="0.25369999999999998"/>
    <x v="15"/>
    <x v="96"/>
    <n v="41"/>
    <x v="2"/>
    <x v="3"/>
  </r>
  <r>
    <n v="346"/>
    <x v="25"/>
    <n v="0.39"/>
    <n v="0.22389999999999999"/>
    <x v="15"/>
    <x v="82"/>
    <n v="57"/>
    <x v="2"/>
    <x v="3"/>
  </r>
  <r>
    <n v="347"/>
    <x v="21"/>
    <n v="0.42"/>
    <n v="0.1045"/>
    <x v="3"/>
    <x v="16"/>
    <n v="26"/>
    <x v="2"/>
    <x v="2"/>
  </r>
  <r>
    <n v="348"/>
    <x v="0"/>
    <n v="0.45"/>
    <n v="0.28360000000000002"/>
    <x v="2"/>
    <x v="87"/>
    <n v="44"/>
    <x v="0"/>
    <x v="2"/>
  </r>
  <r>
    <n v="349"/>
    <x v="25"/>
    <n v="0.56000000000000005"/>
    <n v="0"/>
    <x v="15"/>
    <x v="39"/>
    <n v="39"/>
    <x v="2"/>
    <x v="2"/>
  </r>
  <r>
    <n v="350"/>
    <x v="1"/>
    <n v="0.56000000000000005"/>
    <n v="0.1343"/>
    <x v="17"/>
    <x v="23"/>
    <n v="23"/>
    <x v="0"/>
    <x v="2"/>
  </r>
  <r>
    <n v="351"/>
    <x v="0"/>
    <n v="0.56000000000000005"/>
    <n v="8.9599999999999999E-2"/>
    <x v="0"/>
    <x v="0"/>
    <n v="16"/>
    <x v="0"/>
    <x v="2"/>
  </r>
  <r>
    <n v="352"/>
    <x v="1"/>
    <n v="0.69"/>
    <n v="0"/>
    <x v="14"/>
    <x v="8"/>
    <n v="15"/>
    <x v="0"/>
    <x v="1"/>
  </r>
  <r>
    <n v="353"/>
    <x v="2"/>
    <n v="0.56000000000000005"/>
    <n v="0.16420000000000001"/>
    <x v="3"/>
    <x v="4"/>
    <n v="1"/>
    <x v="0"/>
    <x v="2"/>
  </r>
  <r>
    <n v="354"/>
    <x v="2"/>
    <n v="0.56000000000000005"/>
    <n v="0.16420000000000001"/>
    <x v="5"/>
    <x v="4"/>
    <n v="2"/>
    <x v="0"/>
    <x v="2"/>
  </r>
  <r>
    <n v="355"/>
    <x v="2"/>
    <n v="0.56000000000000005"/>
    <n v="0.16420000000000001"/>
    <x v="3"/>
    <x v="4"/>
    <n v="1"/>
    <x v="0"/>
    <x v="2"/>
  </r>
  <r>
    <n v="356"/>
    <x v="12"/>
    <n v="0.56000000000000005"/>
    <n v="0.29849999999999999"/>
    <x v="3"/>
    <x v="35"/>
    <n v="3"/>
    <x v="0"/>
    <x v="2"/>
  </r>
  <r>
    <n v="357"/>
    <x v="12"/>
    <n v="0.55000000000000004"/>
    <n v="0.28360000000000002"/>
    <x v="3"/>
    <x v="72"/>
    <n v="18"/>
    <x v="0"/>
    <x v="2"/>
  </r>
  <r>
    <n v="358"/>
    <x v="12"/>
    <n v="0.51"/>
    <n v="0.25369999999999998"/>
    <x v="0"/>
    <x v="31"/>
    <n v="32"/>
    <x v="0"/>
    <x v="2"/>
  </r>
  <r>
    <n v="359"/>
    <x v="12"/>
    <n v="0.51"/>
    <n v="0.28360000000000002"/>
    <x v="1"/>
    <x v="13"/>
    <n v="79"/>
    <x v="0"/>
    <x v="2"/>
  </r>
  <r>
    <n v="360"/>
    <x v="11"/>
    <n v="0.44"/>
    <n v="0.25369999999999998"/>
    <x v="29"/>
    <x v="14"/>
    <n v="93"/>
    <x v="0"/>
    <x v="2"/>
  </r>
  <r>
    <n v="361"/>
    <x v="12"/>
    <n v="0.41"/>
    <n v="0.28360000000000002"/>
    <x v="8"/>
    <x v="102"/>
    <n v="104"/>
    <x v="0"/>
    <x v="2"/>
  </r>
  <r>
    <n v="362"/>
    <x v="11"/>
    <n v="0.35"/>
    <n v="0.29849999999999999"/>
    <x v="29"/>
    <x v="73"/>
    <n v="118"/>
    <x v="0"/>
    <x v="3"/>
  </r>
  <r>
    <n v="363"/>
    <x v="1"/>
    <n v="0.36"/>
    <n v="0.25369999999999998"/>
    <x v="30"/>
    <x v="94"/>
    <n v="91"/>
    <x v="0"/>
    <x v="3"/>
  </r>
  <r>
    <n v="364"/>
    <x v="19"/>
    <n v="0.38"/>
    <n v="0.25369999999999998"/>
    <x v="10"/>
    <x v="78"/>
    <n v="113"/>
    <x v="0"/>
    <x v="3"/>
  </r>
  <r>
    <n v="365"/>
    <x v="11"/>
    <n v="0.38"/>
    <n v="0.22389999999999999"/>
    <x v="30"/>
    <x v="99"/>
    <n v="99"/>
    <x v="0"/>
    <x v="3"/>
  </r>
  <r>
    <n v="366"/>
    <x v="12"/>
    <n v="0.37"/>
    <n v="0.25369999999999998"/>
    <x v="29"/>
    <x v="70"/>
    <n v="105"/>
    <x v="0"/>
    <x v="3"/>
  </r>
  <r>
    <n v="367"/>
    <x v="12"/>
    <n v="0.4"/>
    <n v="0.16420000000000001"/>
    <x v="16"/>
    <x v="90"/>
    <n v="67"/>
    <x v="0"/>
    <x v="2"/>
  </r>
  <r>
    <n v="368"/>
    <x v="13"/>
    <n v="0.47"/>
    <n v="0.1343"/>
    <x v="24"/>
    <x v="12"/>
    <n v="61"/>
    <x v="1"/>
    <x v="2"/>
  </r>
  <r>
    <n v="369"/>
    <x v="13"/>
    <n v="0.47"/>
    <n v="0.16420000000000001"/>
    <x v="18"/>
    <x v="54"/>
    <n v="57"/>
    <x v="1"/>
    <x v="2"/>
  </r>
  <r>
    <n v="370"/>
    <x v="13"/>
    <n v="0.51"/>
    <n v="0.16420000000000001"/>
    <x v="15"/>
    <x v="97"/>
    <n v="28"/>
    <x v="1"/>
    <x v="2"/>
  </r>
  <r>
    <n v="371"/>
    <x v="12"/>
    <n v="0.49"/>
    <n v="0.1343"/>
    <x v="4"/>
    <x v="23"/>
    <n v="21"/>
    <x v="0"/>
    <x v="2"/>
  </r>
  <r>
    <n v="372"/>
    <x v="11"/>
    <n v="0.4"/>
    <n v="0.1045"/>
    <x v="3"/>
    <x v="72"/>
    <n v="18"/>
    <x v="0"/>
    <x v="2"/>
  </r>
  <r>
    <n v="373"/>
    <x v="13"/>
    <n v="0.47"/>
    <n v="0.22389999999999999"/>
    <x v="5"/>
    <x v="20"/>
    <n v="17"/>
    <x v="1"/>
    <x v="2"/>
  </r>
  <r>
    <n v="374"/>
    <x v="13"/>
    <n v="0.44"/>
    <n v="0.19400000000000001"/>
    <x v="5"/>
    <x v="89"/>
    <n v="16"/>
    <x v="1"/>
    <x v="2"/>
  </r>
  <r>
    <n v="375"/>
    <x v="17"/>
    <n v="0.43"/>
    <n v="0.25369999999999998"/>
    <x v="3"/>
    <x v="21"/>
    <n v="8"/>
    <x v="1"/>
    <x v="2"/>
  </r>
  <r>
    <n v="376"/>
    <x v="18"/>
    <n v="0.43"/>
    <n v="0.19400000000000001"/>
    <x v="3"/>
    <x v="6"/>
    <n v="2"/>
    <x v="1"/>
    <x v="2"/>
  </r>
  <r>
    <n v="377"/>
    <x v="13"/>
    <n v="0.43"/>
    <n v="0.1343"/>
    <x v="5"/>
    <x v="6"/>
    <n v="3"/>
    <x v="1"/>
    <x v="2"/>
  </r>
  <r>
    <n v="378"/>
    <x v="13"/>
    <n v="0.43"/>
    <n v="0.16420000000000001"/>
    <x v="3"/>
    <x v="4"/>
    <n v="1"/>
    <x v="1"/>
    <x v="2"/>
  </r>
  <r>
    <n v="379"/>
    <x v="18"/>
    <n v="0.43"/>
    <n v="0.19400000000000001"/>
    <x v="3"/>
    <x v="34"/>
    <n v="5"/>
    <x v="1"/>
    <x v="2"/>
  </r>
  <r>
    <n v="380"/>
    <x v="18"/>
    <n v="0.5"/>
    <n v="0.1343"/>
    <x v="17"/>
    <x v="33"/>
    <n v="13"/>
    <x v="1"/>
    <x v="2"/>
  </r>
  <r>
    <n v="381"/>
    <x v="20"/>
    <n v="0.47"/>
    <n v="0.22389999999999999"/>
    <x v="0"/>
    <x v="10"/>
    <n v="33"/>
    <x v="1"/>
    <x v="2"/>
  </r>
  <r>
    <n v="382"/>
    <x v="20"/>
    <n v="0.47"/>
    <n v="0.22389999999999999"/>
    <x v="1"/>
    <x v="87"/>
    <n v="47"/>
    <x v="1"/>
    <x v="2"/>
  </r>
  <r>
    <n v="383"/>
    <x v="20"/>
    <n v="0.5"/>
    <n v="0.25369999999999998"/>
    <x v="18"/>
    <x v="54"/>
    <n v="57"/>
    <x v="1"/>
    <x v="2"/>
  </r>
  <r>
    <n v="384"/>
    <x v="20"/>
    <n v="0.55000000000000004"/>
    <n v="0.19400000000000001"/>
    <x v="14"/>
    <x v="11"/>
    <n v="64"/>
    <x v="1"/>
    <x v="2"/>
  </r>
  <r>
    <n v="385"/>
    <x v="13"/>
    <n v="0.47"/>
    <n v="0.1343"/>
    <x v="22"/>
    <x v="14"/>
    <n v="80"/>
    <x v="1"/>
    <x v="2"/>
  </r>
  <r>
    <n v="386"/>
    <x v="13"/>
    <n v="0.47"/>
    <n v="0.1343"/>
    <x v="23"/>
    <x v="122"/>
    <n v="93"/>
    <x v="1"/>
    <x v="2"/>
  </r>
  <r>
    <n v="387"/>
    <x v="12"/>
    <n v="0.43"/>
    <n v="0.1045"/>
    <x v="6"/>
    <x v="64"/>
    <n v="86"/>
    <x v="0"/>
    <x v="2"/>
  </r>
  <r>
    <n v="388"/>
    <x v="12"/>
    <n v="0.47"/>
    <n v="0.16420000000000001"/>
    <x v="27"/>
    <x v="109"/>
    <n v="93"/>
    <x v="0"/>
    <x v="2"/>
  </r>
  <r>
    <n v="389"/>
    <x v="12"/>
    <n v="0.47"/>
    <n v="0.16420000000000001"/>
    <x v="15"/>
    <x v="83"/>
    <n v="82"/>
    <x v="0"/>
    <x v="2"/>
  </r>
  <r>
    <n v="390"/>
    <x v="13"/>
    <n v="0.51"/>
    <n v="0.19400000000000001"/>
    <x v="17"/>
    <x v="28"/>
    <n v="71"/>
    <x v="1"/>
    <x v="2"/>
  </r>
  <r>
    <n v="391"/>
    <x v="17"/>
    <n v="0.55000000000000004"/>
    <n v="0.25369999999999998"/>
    <x v="18"/>
    <x v="66"/>
    <n v="92"/>
    <x v="1"/>
    <x v="2"/>
  </r>
  <r>
    <n v="392"/>
    <x v="18"/>
    <n v="0.59"/>
    <n v="0.19400000000000001"/>
    <x v="4"/>
    <x v="29"/>
    <n v="60"/>
    <x v="1"/>
    <x v="2"/>
  </r>
  <r>
    <n v="393"/>
    <x v="20"/>
    <n v="0.8"/>
    <n v="0.19400000000000001"/>
    <x v="17"/>
    <x v="31"/>
    <n v="33"/>
    <x v="1"/>
    <x v="0"/>
  </r>
  <r>
    <n v="394"/>
    <x v="20"/>
    <n v="0.8"/>
    <n v="0.19400000000000001"/>
    <x v="0"/>
    <x v="9"/>
    <n v="27"/>
    <x v="1"/>
    <x v="0"/>
  </r>
  <r>
    <n v="395"/>
    <x v="16"/>
    <n v="0.93"/>
    <n v="0.25369999999999998"/>
    <x v="3"/>
    <x v="0"/>
    <n v="13"/>
    <x v="1"/>
    <x v="0"/>
  </r>
  <r>
    <n v="396"/>
    <x v="14"/>
    <n v="0.86"/>
    <n v="0.28360000000000002"/>
    <x v="5"/>
    <x v="35"/>
    <n v="4"/>
    <x v="1"/>
    <x v="0"/>
  </r>
  <r>
    <n v="397"/>
    <x v="18"/>
    <n v="0.86"/>
    <n v="0.32840000000000003"/>
    <x v="3"/>
    <x v="35"/>
    <n v="3"/>
    <x v="1"/>
    <x v="0"/>
  </r>
  <r>
    <n v="398"/>
    <x v="13"/>
    <n v="0.86"/>
    <n v="0.22389999999999999"/>
    <x v="3"/>
    <x v="97"/>
    <n v="22"/>
    <x v="1"/>
    <x v="0"/>
  </r>
  <r>
    <n v="399"/>
    <x v="11"/>
    <n v="0.8"/>
    <n v="0.16420000000000001"/>
    <x v="4"/>
    <x v="16"/>
    <n v="28"/>
    <x v="0"/>
    <x v="0"/>
  </r>
  <r>
    <n v="400"/>
    <x v="11"/>
    <n v="0.87"/>
    <n v="0.16420000000000001"/>
    <x v="0"/>
    <x v="1"/>
    <n v="35"/>
    <x v="0"/>
    <x v="0"/>
  </r>
  <r>
    <n v="401"/>
    <x v="11"/>
    <n v="0.87"/>
    <n v="0.19400000000000001"/>
    <x v="3"/>
    <x v="124"/>
    <n v="61"/>
    <x v="0"/>
    <x v="0"/>
  </r>
  <r>
    <n v="402"/>
    <x v="11"/>
    <n v="0.82"/>
    <n v="0.19400000000000001"/>
    <x v="5"/>
    <x v="125"/>
    <n v="125"/>
    <x v="0"/>
    <x v="0"/>
  </r>
  <r>
    <n v="403"/>
    <x v="11"/>
    <n v="0.8"/>
    <n v="0.16420000000000001"/>
    <x v="5"/>
    <x v="126"/>
    <n v="133"/>
    <x v="0"/>
    <x v="0"/>
  </r>
  <r>
    <n v="404"/>
    <x v="11"/>
    <n v="0.8"/>
    <n v="0.1343"/>
    <x v="5"/>
    <x v="52"/>
    <n v="99"/>
    <x v="0"/>
    <x v="0"/>
  </r>
  <r>
    <n v="405"/>
    <x v="1"/>
    <n v="0.87"/>
    <n v="0"/>
    <x v="3"/>
    <x v="93"/>
    <n v="83"/>
    <x v="0"/>
    <x v="0"/>
  </r>
  <r>
    <n v="406"/>
    <x v="19"/>
    <n v="0.93"/>
    <n v="0.1045"/>
    <x v="3"/>
    <x v="40"/>
    <n v="41"/>
    <x v="0"/>
    <x v="0"/>
  </r>
  <r>
    <n v="407"/>
    <x v="2"/>
    <n v="0.93"/>
    <n v="8.9599999999999999E-2"/>
    <x v="3"/>
    <x v="39"/>
    <n v="33"/>
    <x v="0"/>
    <x v="0"/>
  </r>
  <r>
    <n v="408"/>
    <x v="1"/>
    <n v="0.93"/>
    <n v="0"/>
    <x v="5"/>
    <x v="23"/>
    <n v="20"/>
    <x v="0"/>
    <x v="0"/>
  </r>
  <r>
    <n v="409"/>
    <x v="1"/>
    <n v="0.93"/>
    <n v="0"/>
    <x v="3"/>
    <x v="35"/>
    <n v="3"/>
    <x v="0"/>
    <x v="0"/>
  </r>
  <r>
    <n v="410"/>
    <x v="11"/>
    <n v="0.93"/>
    <n v="0.1343"/>
    <x v="5"/>
    <x v="8"/>
    <n v="7"/>
    <x v="0"/>
    <x v="0"/>
  </r>
  <r>
    <n v="411"/>
    <x v="11"/>
    <n v="0.93"/>
    <n v="0.1343"/>
    <x v="3"/>
    <x v="35"/>
    <n v="3"/>
    <x v="0"/>
    <x v="0"/>
  </r>
  <r>
    <n v="412"/>
    <x v="11"/>
    <n v="0.93"/>
    <n v="0.1343"/>
    <x v="5"/>
    <x v="4"/>
    <n v="2"/>
    <x v="0"/>
    <x v="0"/>
  </r>
  <r>
    <n v="413"/>
    <x v="2"/>
    <n v="0.93"/>
    <n v="8.9599999999999999E-2"/>
    <x v="3"/>
    <x v="7"/>
    <n v="7"/>
    <x v="0"/>
    <x v="0"/>
  </r>
  <r>
    <n v="414"/>
    <x v="2"/>
    <n v="0.93"/>
    <n v="8.9599999999999999E-2"/>
    <x v="3"/>
    <x v="1"/>
    <n v="32"/>
    <x v="0"/>
    <x v="0"/>
  </r>
  <r>
    <n v="415"/>
    <x v="2"/>
    <n v="0.92"/>
    <n v="0.1045"/>
    <x v="5"/>
    <x v="121"/>
    <n v="90"/>
    <x v="0"/>
    <x v="0"/>
  </r>
  <r>
    <n v="416"/>
    <x v="2"/>
    <n v="0.93"/>
    <n v="0.1045"/>
    <x v="5"/>
    <x v="127"/>
    <n v="197"/>
    <x v="0"/>
    <x v="0"/>
  </r>
  <r>
    <n v="417"/>
    <x v="2"/>
    <n v="0.93"/>
    <n v="0.1045"/>
    <x v="4"/>
    <x v="128"/>
    <n v="109"/>
    <x v="0"/>
    <x v="0"/>
  </r>
  <r>
    <n v="418"/>
    <x v="1"/>
    <n v="0.93"/>
    <n v="0.1343"/>
    <x v="5"/>
    <x v="24"/>
    <n v="47"/>
    <x v="0"/>
    <x v="0"/>
  </r>
  <r>
    <n v="419"/>
    <x v="25"/>
    <n v="0.87"/>
    <n v="8.9599999999999999E-2"/>
    <x v="2"/>
    <x v="12"/>
    <n v="52"/>
    <x v="2"/>
    <x v="0"/>
  </r>
  <r>
    <n v="420"/>
    <x v="21"/>
    <n v="0.81"/>
    <n v="8.9599999999999999E-2"/>
    <x v="2"/>
    <x v="65"/>
    <n v="70"/>
    <x v="2"/>
    <x v="0"/>
  </r>
  <r>
    <n v="421"/>
    <x v="10"/>
    <n v="0.62"/>
    <n v="0.28360000000000002"/>
    <x v="16"/>
    <x v="28"/>
    <n v="78"/>
    <x v="3"/>
    <x v="1"/>
  </r>
  <r>
    <n v="422"/>
    <x v="10"/>
    <n v="0.57999999999999996"/>
    <n v="0.25369999999999998"/>
    <x v="18"/>
    <x v="56"/>
    <n v="75"/>
    <x v="3"/>
    <x v="2"/>
  </r>
  <r>
    <n v="423"/>
    <x v="10"/>
    <n v="0.54"/>
    <n v="0.28360000000000002"/>
    <x v="17"/>
    <x v="78"/>
    <n v="82"/>
    <x v="3"/>
    <x v="2"/>
  </r>
  <r>
    <n v="424"/>
    <x v="5"/>
    <n v="0.57999999999999996"/>
    <n v="0.3881"/>
    <x v="22"/>
    <x v="111"/>
    <n v="104"/>
    <x v="2"/>
    <x v="2"/>
  </r>
  <r>
    <n v="425"/>
    <x v="6"/>
    <n v="0.56999999999999995"/>
    <n v="0.32840000000000003"/>
    <x v="18"/>
    <x v="84"/>
    <n v="197"/>
    <x v="2"/>
    <x v="2"/>
  </r>
  <r>
    <n v="426"/>
    <x v="21"/>
    <n v="0.61"/>
    <n v="0.28360000000000002"/>
    <x v="2"/>
    <x v="117"/>
    <n v="161"/>
    <x v="2"/>
    <x v="1"/>
  </r>
  <r>
    <n v="427"/>
    <x v="0"/>
    <n v="0.56999999999999995"/>
    <n v="0.41789999999999999"/>
    <x v="17"/>
    <x v="123"/>
    <n v="112"/>
    <x v="0"/>
    <x v="2"/>
  </r>
  <r>
    <n v="428"/>
    <x v="25"/>
    <n v="0.49"/>
    <n v="0.29849999999999999"/>
    <x v="4"/>
    <x v="64"/>
    <n v="76"/>
    <x v="2"/>
    <x v="2"/>
  </r>
  <r>
    <n v="429"/>
    <x v="0"/>
    <n v="0.49"/>
    <n v="0.41789999999999999"/>
    <x v="17"/>
    <x v="11"/>
    <n v="59"/>
    <x v="0"/>
    <x v="2"/>
  </r>
  <r>
    <n v="430"/>
    <x v="25"/>
    <n v="0.52"/>
    <n v="0.16420000000000001"/>
    <x v="15"/>
    <x v="42"/>
    <n v="59"/>
    <x v="2"/>
    <x v="2"/>
  </r>
  <r>
    <n v="431"/>
    <x v="1"/>
    <n v="0.52"/>
    <n v="0.4627"/>
    <x v="5"/>
    <x v="2"/>
    <n v="28"/>
    <x v="0"/>
    <x v="2"/>
  </r>
  <r>
    <n v="432"/>
    <x v="11"/>
    <n v="0.56000000000000005"/>
    <n v="0.3881"/>
    <x v="2"/>
    <x v="21"/>
    <n v="13"/>
    <x v="0"/>
    <x v="2"/>
  </r>
  <r>
    <n v="433"/>
    <x v="1"/>
    <n v="0.56000000000000005"/>
    <n v="0"/>
    <x v="4"/>
    <x v="35"/>
    <n v="5"/>
    <x v="0"/>
    <x v="2"/>
  </r>
  <r>
    <n v="434"/>
    <x v="1"/>
    <n v="0.56000000000000005"/>
    <n v="0"/>
    <x v="3"/>
    <x v="6"/>
    <n v="2"/>
    <x v="0"/>
    <x v="2"/>
  </r>
  <r>
    <n v="435"/>
    <x v="2"/>
    <n v="0.56000000000000005"/>
    <n v="0.16420000000000001"/>
    <x v="3"/>
    <x v="4"/>
    <n v="1"/>
    <x v="0"/>
    <x v="2"/>
  </r>
  <r>
    <n v="436"/>
    <x v="2"/>
    <n v="0.56000000000000005"/>
    <n v="0.16420000000000001"/>
    <x v="3"/>
    <x v="4"/>
    <n v="1"/>
    <x v="0"/>
    <x v="2"/>
  </r>
  <r>
    <n v="437"/>
    <x v="11"/>
    <n v="0.6"/>
    <n v="0.22389999999999999"/>
    <x v="3"/>
    <x v="8"/>
    <n v="6"/>
    <x v="0"/>
    <x v="1"/>
  </r>
  <r>
    <n v="438"/>
    <x v="12"/>
    <n v="0.6"/>
    <n v="0.22389999999999999"/>
    <x v="3"/>
    <x v="96"/>
    <n v="35"/>
    <x v="0"/>
    <x v="1"/>
  </r>
  <r>
    <n v="439"/>
    <x v="12"/>
    <n v="0.55000000000000004"/>
    <n v="0.22389999999999999"/>
    <x v="5"/>
    <x v="129"/>
    <n v="101"/>
    <x v="0"/>
    <x v="2"/>
  </r>
  <r>
    <n v="440"/>
    <x v="12"/>
    <n v="0.55000000000000004"/>
    <n v="0.28360000000000002"/>
    <x v="4"/>
    <x v="130"/>
    <n v="249"/>
    <x v="0"/>
    <x v="2"/>
  </r>
  <r>
    <n v="441"/>
    <x v="11"/>
    <n v="0.52"/>
    <n v="0.22389999999999999"/>
    <x v="0"/>
    <x v="131"/>
    <n v="143"/>
    <x v="0"/>
    <x v="2"/>
  </r>
  <r>
    <n v="442"/>
    <x v="11"/>
    <n v="0.48"/>
    <n v="0.29849999999999999"/>
    <x v="5"/>
    <x v="90"/>
    <n v="57"/>
    <x v="0"/>
    <x v="2"/>
  </r>
  <r>
    <n v="443"/>
    <x v="1"/>
    <n v="0.45"/>
    <n v="0.16420000000000001"/>
    <x v="2"/>
    <x v="36"/>
    <n v="68"/>
    <x v="0"/>
    <x v="2"/>
  </r>
  <r>
    <n v="444"/>
    <x v="6"/>
    <n v="0.42"/>
    <n v="0"/>
    <x v="18"/>
    <x v="99"/>
    <n v="84"/>
    <x v="2"/>
    <x v="2"/>
  </r>
  <r>
    <n v="445"/>
    <x v="0"/>
    <n v="0.45"/>
    <n v="0.1045"/>
    <x v="6"/>
    <x v="132"/>
    <n v="98"/>
    <x v="0"/>
    <x v="2"/>
  </r>
  <r>
    <n v="446"/>
    <x v="25"/>
    <n v="0.45"/>
    <n v="0.1343"/>
    <x v="15"/>
    <x v="102"/>
    <n v="81"/>
    <x v="2"/>
    <x v="2"/>
  </r>
  <r>
    <n v="447"/>
    <x v="21"/>
    <n v="0.45"/>
    <n v="0.19400000000000001"/>
    <x v="1"/>
    <x v="133"/>
    <n v="70"/>
    <x v="2"/>
    <x v="2"/>
  </r>
  <r>
    <n v="448"/>
    <x v="25"/>
    <n v="0.49"/>
    <n v="0.1343"/>
    <x v="1"/>
    <x v="93"/>
    <n v="91"/>
    <x v="2"/>
    <x v="2"/>
  </r>
  <r>
    <n v="449"/>
    <x v="21"/>
    <n v="0.49"/>
    <n v="0.1045"/>
    <x v="1"/>
    <x v="134"/>
    <n v="215"/>
    <x v="2"/>
    <x v="2"/>
  </r>
  <r>
    <n v="450"/>
    <x v="2"/>
    <n v="0.56000000000000005"/>
    <n v="0.19400000000000001"/>
    <x v="5"/>
    <x v="103"/>
    <n v="185"/>
    <x v="0"/>
    <x v="2"/>
  </r>
  <r>
    <n v="451"/>
    <x v="11"/>
    <n v="0.56000000000000005"/>
    <n v="0.32840000000000003"/>
    <x v="15"/>
    <x v="44"/>
    <n v="152"/>
    <x v="0"/>
    <x v="2"/>
  </r>
  <r>
    <n v="452"/>
    <x v="19"/>
    <n v="0.6"/>
    <n v="0.28360000000000002"/>
    <x v="4"/>
    <x v="125"/>
    <n v="126"/>
    <x v="0"/>
    <x v="1"/>
  </r>
  <r>
    <n v="453"/>
    <x v="11"/>
    <n v="0.6"/>
    <n v="0.25369999999999998"/>
    <x v="0"/>
    <x v="25"/>
    <n v="57"/>
    <x v="0"/>
    <x v="1"/>
  </r>
  <r>
    <n v="454"/>
    <x v="12"/>
    <n v="0.65"/>
    <n v="0.28360000000000002"/>
    <x v="3"/>
    <x v="90"/>
    <n v="56"/>
    <x v="0"/>
    <x v="1"/>
  </r>
  <r>
    <n v="455"/>
    <x v="12"/>
    <n v="0.65"/>
    <n v="0.32840000000000003"/>
    <x v="0"/>
    <x v="95"/>
    <n v="31"/>
    <x v="0"/>
    <x v="1"/>
  </r>
  <r>
    <n v="456"/>
    <x v="11"/>
    <n v="0.7"/>
    <n v="0.25369999999999998"/>
    <x v="5"/>
    <x v="32"/>
    <n v="21"/>
    <x v="0"/>
    <x v="1"/>
  </r>
  <r>
    <n v="457"/>
    <x v="11"/>
    <n v="0.7"/>
    <n v="0.25369999999999998"/>
    <x v="3"/>
    <x v="8"/>
    <n v="6"/>
    <x v="0"/>
    <x v="1"/>
  </r>
  <r>
    <n v="458"/>
    <x v="19"/>
    <n v="0.75"/>
    <n v="0.16420000000000001"/>
    <x v="3"/>
    <x v="6"/>
    <n v="2"/>
    <x v="0"/>
    <x v="1"/>
  </r>
  <r>
    <n v="459"/>
    <x v="12"/>
    <n v="0.8"/>
    <n v="0.29849999999999999"/>
    <x v="3"/>
    <x v="4"/>
    <n v="1"/>
    <x v="0"/>
    <x v="0"/>
  </r>
  <r>
    <n v="460"/>
    <x v="2"/>
    <n v="0.87"/>
    <n v="8.9599999999999999E-2"/>
    <x v="3"/>
    <x v="4"/>
    <n v="1"/>
    <x v="0"/>
    <x v="0"/>
  </r>
  <r>
    <n v="461"/>
    <x v="13"/>
    <n v="0.6"/>
    <n v="0.41789999999999999"/>
    <x v="5"/>
    <x v="22"/>
    <n v="5"/>
    <x v="1"/>
    <x v="1"/>
  </r>
  <r>
    <n v="462"/>
    <x v="12"/>
    <n v="0.55000000000000004"/>
    <n v="0.25369999999999998"/>
    <x v="3"/>
    <x v="2"/>
    <n v="27"/>
    <x v="0"/>
    <x v="2"/>
  </r>
  <r>
    <n v="463"/>
    <x v="18"/>
    <n v="0.51"/>
    <n v="0.28360000000000002"/>
    <x v="4"/>
    <x v="43"/>
    <n v="68"/>
    <x v="1"/>
    <x v="2"/>
  </r>
  <r>
    <n v="464"/>
    <x v="18"/>
    <n v="0.47"/>
    <n v="0.32840000000000003"/>
    <x v="18"/>
    <x v="135"/>
    <n v="217"/>
    <x v="1"/>
    <x v="2"/>
  </r>
  <r>
    <n v="465"/>
    <x v="18"/>
    <n v="0.51"/>
    <n v="0.35820000000000002"/>
    <x v="18"/>
    <x v="136"/>
    <n v="166"/>
    <x v="1"/>
    <x v="2"/>
  </r>
  <r>
    <n v="466"/>
    <x v="17"/>
    <n v="0.47"/>
    <n v="0.4627"/>
    <x v="15"/>
    <x v="77"/>
    <n v="63"/>
    <x v="1"/>
    <x v="2"/>
  </r>
  <r>
    <n v="467"/>
    <x v="18"/>
    <n v="0.41"/>
    <n v="0.4627"/>
    <x v="15"/>
    <x v="42"/>
    <n v="59"/>
    <x v="1"/>
    <x v="2"/>
  </r>
  <r>
    <n v="468"/>
    <x v="18"/>
    <n v="0.27"/>
    <n v="0.58209999999999995"/>
    <x v="16"/>
    <x v="28"/>
    <n v="78"/>
    <x v="1"/>
    <x v="3"/>
  </r>
  <r>
    <n v="469"/>
    <x v="20"/>
    <n v="0.21"/>
    <n v="0.58209999999999995"/>
    <x v="1"/>
    <x v="65"/>
    <n v="73"/>
    <x v="1"/>
    <x v="3"/>
  </r>
  <r>
    <n v="470"/>
    <x v="20"/>
    <n v="0.25"/>
    <n v="0.52239999999999998"/>
    <x v="15"/>
    <x v="90"/>
    <n v="62"/>
    <x v="1"/>
    <x v="3"/>
  </r>
  <r>
    <n v="471"/>
    <x v="16"/>
    <n v="0.26"/>
    <n v="0.44779999999999998"/>
    <x v="17"/>
    <x v="124"/>
    <n v="65"/>
    <x v="1"/>
    <x v="3"/>
  </r>
  <r>
    <n v="472"/>
    <x v="14"/>
    <n v="0.26"/>
    <n v="0.35820000000000002"/>
    <x v="3"/>
    <x v="106"/>
    <n v="97"/>
    <x v="1"/>
    <x v="3"/>
  </r>
  <r>
    <n v="473"/>
    <x v="16"/>
    <n v="0.28000000000000003"/>
    <n v="0.35820000000000002"/>
    <x v="22"/>
    <x v="137"/>
    <n v="161"/>
    <x v="1"/>
    <x v="3"/>
  </r>
  <r>
    <n v="474"/>
    <x v="16"/>
    <n v="0.3"/>
    <n v="0.25369999999999998"/>
    <x v="5"/>
    <x v="138"/>
    <n v="120"/>
    <x v="1"/>
    <x v="3"/>
  </r>
  <r>
    <n v="475"/>
    <x v="15"/>
    <n v="0.3"/>
    <n v="0.32840000000000003"/>
    <x v="0"/>
    <x v="139"/>
    <n v="96"/>
    <x v="1"/>
    <x v="3"/>
  </r>
  <r>
    <n v="476"/>
    <x v="23"/>
    <n v="0.33"/>
    <n v="0.41789999999999999"/>
    <x v="5"/>
    <x v="15"/>
    <n v="53"/>
    <x v="1"/>
    <x v="3"/>
  </r>
  <r>
    <n v="477"/>
    <x v="23"/>
    <n v="0.38"/>
    <n v="0.28360000000000002"/>
    <x v="3"/>
    <x v="40"/>
    <n v="41"/>
    <x v="1"/>
    <x v="3"/>
  </r>
  <r>
    <n v="478"/>
    <x v="26"/>
    <n v="0.41"/>
    <n v="0.3881"/>
    <x v="5"/>
    <x v="39"/>
    <n v="34"/>
    <x v="1"/>
    <x v="2"/>
  </r>
  <r>
    <n v="479"/>
    <x v="27"/>
    <n v="0.38"/>
    <n v="0.32840000000000003"/>
    <x v="3"/>
    <x v="2"/>
    <n v="27"/>
    <x v="1"/>
    <x v="3"/>
  </r>
  <r>
    <n v="480"/>
    <x v="26"/>
    <n v="0.45"/>
    <n v="0.25369999999999998"/>
    <x v="3"/>
    <x v="0"/>
    <n v="13"/>
    <x v="1"/>
    <x v="2"/>
  </r>
  <r>
    <n v="481"/>
    <x v="28"/>
    <n v="0.41"/>
    <n v="0.3881"/>
    <x v="0"/>
    <x v="33"/>
    <n v="12"/>
    <x v="1"/>
    <x v="2"/>
  </r>
  <r>
    <n v="482"/>
    <x v="26"/>
    <n v="0.41"/>
    <n v="0.25369999999999998"/>
    <x v="3"/>
    <x v="48"/>
    <n v="11"/>
    <x v="1"/>
    <x v="2"/>
  </r>
  <r>
    <n v="483"/>
    <x v="26"/>
    <n v="0.41"/>
    <n v="0.28360000000000002"/>
    <x v="5"/>
    <x v="8"/>
    <n v="7"/>
    <x v="1"/>
    <x v="2"/>
  </r>
  <r>
    <n v="484"/>
    <x v="29"/>
    <n v="0.48"/>
    <n v="0.29849999999999999"/>
    <x v="3"/>
    <x v="35"/>
    <n v="3"/>
    <x v="1"/>
    <x v="2"/>
  </r>
  <r>
    <n v="485"/>
    <x v="26"/>
    <n v="0.44"/>
    <n v="0.22389999999999999"/>
    <x v="3"/>
    <x v="6"/>
    <n v="2"/>
    <x v="1"/>
    <x v="2"/>
  </r>
  <r>
    <n v="486"/>
    <x v="29"/>
    <n v="0.44"/>
    <n v="0.28360000000000002"/>
    <x v="3"/>
    <x v="21"/>
    <n v="8"/>
    <x v="1"/>
    <x v="2"/>
  </r>
  <r>
    <n v="487"/>
    <x v="28"/>
    <n v="0.44"/>
    <n v="0.32840000000000003"/>
    <x v="5"/>
    <x v="16"/>
    <n v="27"/>
    <x v="1"/>
    <x v="2"/>
  </r>
  <r>
    <n v="488"/>
    <x v="26"/>
    <n v="0.41"/>
    <n v="0.25369999999999998"/>
    <x v="0"/>
    <x v="53"/>
    <n v="40"/>
    <x v="1"/>
    <x v="2"/>
  </r>
  <r>
    <n v="489"/>
    <x v="22"/>
    <n v="0.41"/>
    <n v="0.16420000000000001"/>
    <x v="0"/>
    <x v="54"/>
    <n v="53"/>
    <x v="1"/>
    <x v="2"/>
  </r>
  <r>
    <n v="490"/>
    <x v="23"/>
    <n v="0.38"/>
    <n v="0.1343"/>
    <x v="17"/>
    <x v="79"/>
    <n v="63"/>
    <x v="1"/>
    <x v="3"/>
  </r>
  <r>
    <n v="491"/>
    <x v="15"/>
    <n v="0.38"/>
    <n v="0.1045"/>
    <x v="22"/>
    <x v="91"/>
    <n v="70"/>
    <x v="1"/>
    <x v="3"/>
  </r>
  <r>
    <n v="492"/>
    <x v="17"/>
    <n v="0.35"/>
    <n v="0"/>
    <x v="6"/>
    <x v="109"/>
    <n v="84"/>
    <x v="1"/>
    <x v="3"/>
  </r>
  <r>
    <n v="493"/>
    <x v="14"/>
    <n v="0.33"/>
    <n v="0.1045"/>
    <x v="16"/>
    <x v="27"/>
    <n v="75"/>
    <x v="1"/>
    <x v="3"/>
  </r>
  <r>
    <n v="494"/>
    <x v="20"/>
    <n v="0.28000000000000003"/>
    <n v="0"/>
    <x v="22"/>
    <x v="139"/>
    <n v="103"/>
    <x v="1"/>
    <x v="3"/>
  </r>
  <r>
    <n v="495"/>
    <x v="14"/>
    <n v="0.28000000000000003"/>
    <n v="0.19400000000000001"/>
    <x v="16"/>
    <x v="109"/>
    <n v="83"/>
    <x v="1"/>
    <x v="3"/>
  </r>
  <r>
    <n v="496"/>
    <x v="13"/>
    <n v="0.28000000000000003"/>
    <n v="0"/>
    <x v="1"/>
    <x v="79"/>
    <n v="67"/>
    <x v="1"/>
    <x v="3"/>
  </r>
  <r>
    <n v="497"/>
    <x v="24"/>
    <n v="0.35"/>
    <n v="0.19400000000000001"/>
    <x v="3"/>
    <x v="25"/>
    <n v="54"/>
    <x v="1"/>
    <x v="3"/>
  </r>
  <r>
    <n v="498"/>
    <x v="15"/>
    <n v="0.35"/>
    <n v="0.1343"/>
    <x v="15"/>
    <x v="42"/>
    <n v="59"/>
    <x v="1"/>
    <x v="3"/>
  </r>
  <r>
    <n v="499"/>
    <x v="23"/>
    <n v="0.45"/>
    <n v="0.16420000000000001"/>
    <x v="5"/>
    <x v="100"/>
    <n v="45"/>
    <x v="1"/>
    <x v="2"/>
  </r>
  <r>
    <n v="500"/>
    <x v="15"/>
    <n v="0.41"/>
    <n v="8.9599999999999999E-2"/>
    <x v="3"/>
    <x v="87"/>
    <n v="39"/>
    <x v="1"/>
    <x v="2"/>
  </r>
  <r>
    <n v="501"/>
    <x v="20"/>
    <n v="0.49"/>
    <n v="0"/>
    <x v="18"/>
    <x v="140"/>
    <n v="30"/>
    <x v="1"/>
    <x v="2"/>
  </r>
  <r>
    <n v="502"/>
    <x v="23"/>
    <n v="0.56999999999999995"/>
    <n v="0.1045"/>
    <x v="4"/>
    <x v="17"/>
    <n v="33"/>
    <x v="1"/>
    <x v="2"/>
  </r>
  <r>
    <n v="503"/>
    <x v="23"/>
    <n v="0.56999999999999995"/>
    <n v="0.1045"/>
    <x v="4"/>
    <x v="32"/>
    <n v="22"/>
    <x v="1"/>
    <x v="2"/>
  </r>
  <r>
    <n v="504"/>
    <x v="23"/>
    <n v="0.56999999999999995"/>
    <n v="0.1045"/>
    <x v="5"/>
    <x v="98"/>
    <n v="13"/>
    <x v="1"/>
    <x v="2"/>
  </r>
  <r>
    <n v="505"/>
    <x v="22"/>
    <n v="0.62"/>
    <n v="0.1343"/>
    <x v="0"/>
    <x v="89"/>
    <n v="18"/>
    <x v="1"/>
    <x v="1"/>
  </r>
  <r>
    <n v="506"/>
    <x v="22"/>
    <n v="0.62"/>
    <n v="0.1343"/>
    <x v="5"/>
    <x v="22"/>
    <n v="5"/>
    <x v="1"/>
    <x v="1"/>
  </r>
  <r>
    <n v="507"/>
    <x v="23"/>
    <n v="0.56999999999999995"/>
    <n v="0.1045"/>
    <x v="3"/>
    <x v="35"/>
    <n v="3"/>
    <x v="1"/>
    <x v="2"/>
  </r>
  <r>
    <n v="508"/>
    <x v="23"/>
    <n v="0.56999999999999995"/>
    <n v="0.1045"/>
    <x v="3"/>
    <x v="4"/>
    <n v="1"/>
    <x v="1"/>
    <x v="2"/>
  </r>
  <r>
    <n v="509"/>
    <x v="15"/>
    <n v="0.57999999999999996"/>
    <n v="0.16420000000000001"/>
    <x v="5"/>
    <x v="4"/>
    <n v="2"/>
    <x v="1"/>
    <x v="2"/>
  </r>
  <r>
    <n v="510"/>
    <x v="23"/>
    <n v="0.62"/>
    <n v="0.16420000000000001"/>
    <x v="4"/>
    <x v="19"/>
    <n v="19"/>
    <x v="1"/>
    <x v="1"/>
  </r>
  <r>
    <n v="511"/>
    <x v="23"/>
    <n v="0.54"/>
    <n v="0.35820000000000002"/>
    <x v="0"/>
    <x v="18"/>
    <n v="28"/>
    <x v="1"/>
    <x v="2"/>
  </r>
  <r>
    <n v="512"/>
    <x v="15"/>
    <n v="0.46"/>
    <n v="0.3881"/>
    <x v="18"/>
    <x v="82"/>
    <n v="58"/>
    <x v="1"/>
    <x v="2"/>
  </r>
  <r>
    <n v="513"/>
    <x v="14"/>
    <n v="0.43"/>
    <n v="0.22389999999999999"/>
    <x v="30"/>
    <x v="99"/>
    <n v="99"/>
    <x v="1"/>
    <x v="2"/>
  </r>
  <r>
    <n v="514"/>
    <x v="16"/>
    <n v="0.37"/>
    <n v="0.4627"/>
    <x v="31"/>
    <x v="50"/>
    <n v="116"/>
    <x v="1"/>
    <x v="3"/>
  </r>
  <r>
    <n v="515"/>
    <x v="15"/>
    <n v="0.33"/>
    <n v="0.3881"/>
    <x v="6"/>
    <x v="102"/>
    <n v="87"/>
    <x v="1"/>
    <x v="3"/>
  </r>
  <r>
    <n v="516"/>
    <x v="14"/>
    <n v="0.28000000000000003"/>
    <n v="0.35820000000000002"/>
    <x v="26"/>
    <x v="139"/>
    <n v="110"/>
    <x v="1"/>
    <x v="3"/>
  </r>
  <r>
    <n v="517"/>
    <x v="14"/>
    <n v="0.28000000000000003"/>
    <n v="0.35820000000000002"/>
    <x v="23"/>
    <x v="27"/>
    <n v="77"/>
    <x v="1"/>
    <x v="3"/>
  </r>
  <r>
    <n v="518"/>
    <x v="14"/>
    <n v="0.26"/>
    <n v="0.32840000000000003"/>
    <x v="14"/>
    <x v="90"/>
    <n v="65"/>
    <x v="1"/>
    <x v="3"/>
  </r>
  <r>
    <n v="519"/>
    <x v="15"/>
    <n v="0.26"/>
    <n v="0.3881"/>
    <x v="2"/>
    <x v="54"/>
    <n v="55"/>
    <x v="1"/>
    <x v="3"/>
  </r>
  <r>
    <n v="520"/>
    <x v="16"/>
    <n v="0.3"/>
    <n v="0.25369999999999998"/>
    <x v="2"/>
    <x v="100"/>
    <n v="49"/>
    <x v="1"/>
    <x v="3"/>
  </r>
  <r>
    <n v="521"/>
    <x v="16"/>
    <n v="0.3"/>
    <n v="0.28360000000000002"/>
    <x v="2"/>
    <x v="108"/>
    <n v="50"/>
    <x v="1"/>
    <x v="3"/>
  </r>
  <r>
    <n v="522"/>
    <x v="15"/>
    <n v="0.36"/>
    <n v="0.25369999999999998"/>
    <x v="17"/>
    <x v="17"/>
    <n v="35"/>
    <x v="1"/>
    <x v="3"/>
  </r>
  <r>
    <n v="523"/>
    <x v="15"/>
    <n v="0.36"/>
    <n v="0.19400000000000001"/>
    <x v="2"/>
    <x v="32"/>
    <n v="25"/>
    <x v="1"/>
    <x v="3"/>
  </r>
  <r>
    <n v="524"/>
    <x v="24"/>
    <n v="0.38"/>
    <n v="0.19400000000000001"/>
    <x v="2"/>
    <x v="140"/>
    <n v="28"/>
    <x v="1"/>
    <x v="3"/>
  </r>
  <r>
    <n v="525"/>
    <x v="22"/>
    <n v="0.41"/>
    <n v="0.22389999999999999"/>
    <x v="17"/>
    <x v="19"/>
    <n v="21"/>
    <x v="1"/>
    <x v="2"/>
  </r>
  <r>
    <n v="526"/>
    <x v="22"/>
    <n v="0.41"/>
    <n v="0.19400000000000001"/>
    <x v="3"/>
    <x v="7"/>
    <n v="7"/>
    <x v="1"/>
    <x v="2"/>
  </r>
  <r>
    <n v="527"/>
    <x v="27"/>
    <n v="0.45"/>
    <n v="0.19400000000000001"/>
    <x v="3"/>
    <x v="4"/>
    <n v="1"/>
    <x v="1"/>
    <x v="2"/>
  </r>
  <r>
    <n v="528"/>
    <x v="26"/>
    <n v="0.45"/>
    <n v="0.25369999999999998"/>
    <x v="3"/>
    <x v="4"/>
    <n v="1"/>
    <x v="1"/>
    <x v="2"/>
  </r>
  <r>
    <n v="529"/>
    <x v="22"/>
    <n v="0.48"/>
    <n v="0.1343"/>
    <x v="3"/>
    <x v="4"/>
    <n v="1"/>
    <x v="1"/>
    <x v="2"/>
  </r>
  <r>
    <n v="530"/>
    <x v="22"/>
    <n v="0.48"/>
    <n v="0.1343"/>
    <x v="3"/>
    <x v="34"/>
    <n v="5"/>
    <x v="1"/>
    <x v="2"/>
  </r>
  <r>
    <n v="531"/>
    <x v="23"/>
    <n v="0.48"/>
    <n v="8.9599999999999999E-2"/>
    <x v="3"/>
    <x v="89"/>
    <n v="15"/>
    <x v="1"/>
    <x v="2"/>
  </r>
  <r>
    <n v="532"/>
    <x v="16"/>
    <n v="0.48"/>
    <n v="0"/>
    <x v="2"/>
    <x v="55"/>
    <n v="84"/>
    <x v="1"/>
    <x v="2"/>
  </r>
  <r>
    <n v="533"/>
    <x v="14"/>
    <n v="0.49"/>
    <n v="0"/>
    <x v="15"/>
    <x v="141"/>
    <n v="177"/>
    <x v="1"/>
    <x v="2"/>
  </r>
  <r>
    <n v="534"/>
    <x v="20"/>
    <n v="0.41"/>
    <n v="0"/>
    <x v="17"/>
    <x v="52"/>
    <n v="102"/>
    <x v="1"/>
    <x v="2"/>
  </r>
  <r>
    <n v="535"/>
    <x v="14"/>
    <n v="0.42"/>
    <n v="0"/>
    <x v="15"/>
    <x v="60"/>
    <n v="40"/>
    <x v="1"/>
    <x v="2"/>
  </r>
  <r>
    <n v="536"/>
    <x v="16"/>
    <n v="0.46"/>
    <n v="0.1343"/>
    <x v="0"/>
    <x v="30"/>
    <n v="46"/>
    <x v="1"/>
    <x v="2"/>
  </r>
  <r>
    <n v="537"/>
    <x v="14"/>
    <n v="0.42"/>
    <n v="0.19400000000000001"/>
    <x v="16"/>
    <x v="15"/>
    <n v="63"/>
    <x v="1"/>
    <x v="2"/>
  </r>
  <r>
    <n v="538"/>
    <x v="14"/>
    <n v="0.43"/>
    <n v="0.22389999999999999"/>
    <x v="15"/>
    <x v="25"/>
    <n v="60"/>
    <x v="1"/>
    <x v="2"/>
  </r>
  <r>
    <n v="539"/>
    <x v="14"/>
    <n v="0.46"/>
    <n v="0.22389999999999999"/>
    <x v="4"/>
    <x v="30"/>
    <n v="45"/>
    <x v="1"/>
    <x v="2"/>
  </r>
  <r>
    <n v="540"/>
    <x v="17"/>
    <n v="0.4"/>
    <n v="0.16420000000000001"/>
    <x v="18"/>
    <x v="54"/>
    <n v="57"/>
    <x v="1"/>
    <x v="2"/>
  </r>
  <r>
    <n v="541"/>
    <x v="20"/>
    <n v="0.47"/>
    <n v="0.25369999999999998"/>
    <x v="17"/>
    <x v="43"/>
    <n v="70"/>
    <x v="1"/>
    <x v="2"/>
  </r>
  <r>
    <n v="542"/>
    <x v="16"/>
    <n v="0.5"/>
    <n v="0.25369999999999998"/>
    <x v="15"/>
    <x v="86"/>
    <n v="184"/>
    <x v="1"/>
    <x v="2"/>
  </r>
  <r>
    <n v="543"/>
    <x v="14"/>
    <n v="0.59"/>
    <n v="0.19400000000000001"/>
    <x v="1"/>
    <x v="142"/>
    <n v="153"/>
    <x v="1"/>
    <x v="2"/>
  </r>
  <r>
    <n v="544"/>
    <x v="20"/>
    <n v="0.54"/>
    <n v="0.16420000000000001"/>
    <x v="2"/>
    <x v="143"/>
    <n v="106"/>
    <x v="1"/>
    <x v="2"/>
  </r>
  <r>
    <n v="545"/>
    <x v="14"/>
    <n v="0.59"/>
    <n v="0.19400000000000001"/>
    <x v="5"/>
    <x v="122"/>
    <n v="81"/>
    <x v="1"/>
    <x v="2"/>
  </r>
  <r>
    <n v="546"/>
    <x v="20"/>
    <n v="0.63"/>
    <n v="0.16420000000000001"/>
    <x v="15"/>
    <x v="42"/>
    <n v="59"/>
    <x v="1"/>
    <x v="1"/>
  </r>
  <r>
    <n v="547"/>
    <x v="14"/>
    <n v="0.63"/>
    <n v="0.22389999999999999"/>
    <x v="0"/>
    <x v="1"/>
    <n v="35"/>
    <x v="1"/>
    <x v="1"/>
  </r>
  <r>
    <n v="548"/>
    <x v="20"/>
    <n v="0.64"/>
    <n v="0.25369999999999998"/>
    <x v="0"/>
    <x v="144"/>
    <n v="24"/>
    <x v="1"/>
    <x v="1"/>
  </r>
  <r>
    <n v="549"/>
    <x v="14"/>
    <n v="0.69"/>
    <n v="0.28360000000000002"/>
    <x v="0"/>
    <x v="8"/>
    <n v="9"/>
    <x v="1"/>
    <x v="1"/>
  </r>
  <r>
    <n v="550"/>
    <x v="17"/>
    <n v="0.69"/>
    <n v="0.16420000000000001"/>
    <x v="3"/>
    <x v="34"/>
    <n v="5"/>
    <x v="1"/>
    <x v="1"/>
  </r>
  <r>
    <n v="551"/>
    <x v="20"/>
    <n v="0.69"/>
    <n v="0.22389999999999999"/>
    <x v="3"/>
    <x v="6"/>
    <n v="2"/>
    <x v="1"/>
    <x v="1"/>
  </r>
  <r>
    <n v="552"/>
    <x v="17"/>
    <n v="0.74"/>
    <n v="0.1045"/>
    <x v="3"/>
    <x v="4"/>
    <n v="1"/>
    <x v="1"/>
    <x v="1"/>
  </r>
  <r>
    <n v="553"/>
    <x v="14"/>
    <n v="0.74"/>
    <n v="0.22389999999999999"/>
    <x v="3"/>
    <x v="33"/>
    <n v="9"/>
    <x v="1"/>
    <x v="1"/>
  </r>
  <r>
    <n v="554"/>
    <x v="18"/>
    <n v="0.74"/>
    <n v="0.1045"/>
    <x v="5"/>
    <x v="96"/>
    <n v="36"/>
    <x v="1"/>
    <x v="1"/>
  </r>
  <r>
    <n v="555"/>
    <x v="20"/>
    <n v="0.74"/>
    <n v="0.22389999999999999"/>
    <x v="2"/>
    <x v="145"/>
    <n v="108"/>
    <x v="1"/>
    <x v="1"/>
  </r>
  <r>
    <n v="556"/>
    <x v="18"/>
    <n v="0.74"/>
    <n v="0.1343"/>
    <x v="2"/>
    <x v="146"/>
    <n v="238"/>
    <x v="1"/>
    <x v="1"/>
  </r>
  <r>
    <n v="557"/>
    <x v="11"/>
    <n v="0.64"/>
    <n v="8.9599999999999999E-2"/>
    <x v="22"/>
    <x v="120"/>
    <n v="144"/>
    <x v="0"/>
    <x v="1"/>
  </r>
  <r>
    <n v="558"/>
    <x v="19"/>
    <n v="0.6"/>
    <n v="0.1045"/>
    <x v="15"/>
    <x v="47"/>
    <n v="55"/>
    <x v="0"/>
    <x v="1"/>
  </r>
  <r>
    <n v="559"/>
    <x v="19"/>
    <n v="0.6"/>
    <n v="0.1343"/>
    <x v="15"/>
    <x v="11"/>
    <n v="61"/>
    <x v="0"/>
    <x v="1"/>
  </r>
  <r>
    <n v="560"/>
    <x v="0"/>
    <n v="0.56000000000000005"/>
    <n v="8.9599999999999999E-2"/>
    <x v="27"/>
    <x v="66"/>
    <n v="106"/>
    <x v="0"/>
    <x v="2"/>
  </r>
  <r>
    <n v="561"/>
    <x v="1"/>
    <n v="0.56000000000000005"/>
    <n v="0.1343"/>
    <x v="27"/>
    <x v="109"/>
    <n v="93"/>
    <x v="0"/>
    <x v="2"/>
  </r>
  <r>
    <n v="562"/>
    <x v="6"/>
    <n v="0.45"/>
    <n v="0"/>
    <x v="16"/>
    <x v="77"/>
    <n v="68"/>
    <x v="2"/>
    <x v="2"/>
  </r>
  <r>
    <n v="563"/>
    <x v="4"/>
    <n v="0.42"/>
    <n v="0"/>
    <x v="27"/>
    <x v="36"/>
    <n v="84"/>
    <x v="2"/>
    <x v="2"/>
  </r>
  <r>
    <n v="564"/>
    <x v="4"/>
    <n v="0.42"/>
    <n v="0"/>
    <x v="24"/>
    <x v="46"/>
    <n v="116"/>
    <x v="2"/>
    <x v="2"/>
  </r>
  <r>
    <n v="565"/>
    <x v="6"/>
    <n v="0.45"/>
    <n v="0"/>
    <x v="24"/>
    <x v="147"/>
    <n v="222"/>
    <x v="2"/>
    <x v="2"/>
  </r>
  <r>
    <n v="566"/>
    <x v="21"/>
    <n v="0.49"/>
    <n v="8.9599999999999999E-2"/>
    <x v="18"/>
    <x v="148"/>
    <n v="225"/>
    <x v="2"/>
    <x v="2"/>
  </r>
  <r>
    <n v="567"/>
    <x v="2"/>
    <n v="0.65"/>
    <n v="0.16420000000000001"/>
    <x v="23"/>
    <x v="149"/>
    <n v="146"/>
    <x v="0"/>
    <x v="1"/>
  </r>
  <r>
    <n v="568"/>
    <x v="11"/>
    <n v="0.65"/>
    <n v="0.19400000000000001"/>
    <x v="19"/>
    <x v="145"/>
    <n v="119"/>
    <x v="0"/>
    <x v="1"/>
  </r>
  <r>
    <n v="569"/>
    <x v="11"/>
    <n v="0.65"/>
    <n v="0.19400000000000001"/>
    <x v="2"/>
    <x v="71"/>
    <n v="45"/>
    <x v="0"/>
    <x v="1"/>
  </r>
  <r>
    <n v="570"/>
    <x v="11"/>
    <n v="0.64"/>
    <n v="0.16420000000000001"/>
    <x v="17"/>
    <x v="47"/>
    <n v="53"/>
    <x v="0"/>
    <x v="1"/>
  </r>
  <r>
    <n v="571"/>
    <x v="11"/>
    <n v="0.64"/>
    <n v="0.16420000000000001"/>
    <x v="0"/>
    <x v="53"/>
    <n v="40"/>
    <x v="0"/>
    <x v="1"/>
  </r>
  <r>
    <n v="572"/>
    <x v="11"/>
    <n v="0.69"/>
    <n v="0.1343"/>
    <x v="0"/>
    <x v="88"/>
    <n v="17"/>
    <x v="0"/>
    <x v="1"/>
  </r>
  <r>
    <n v="573"/>
    <x v="19"/>
    <n v="0.65"/>
    <n v="0.1343"/>
    <x v="3"/>
    <x v="34"/>
    <n v="5"/>
    <x v="0"/>
    <x v="1"/>
  </r>
  <r>
    <n v="574"/>
    <x v="11"/>
    <n v="0.69"/>
    <n v="0.19400000000000001"/>
    <x v="0"/>
    <x v="7"/>
    <n v="10"/>
    <x v="0"/>
    <x v="1"/>
  </r>
  <r>
    <n v="575"/>
    <x v="18"/>
    <n v="0.86"/>
    <n v="0.28360000000000002"/>
    <x v="3"/>
    <x v="4"/>
    <n v="1"/>
    <x v="1"/>
    <x v="0"/>
  </r>
  <r>
    <n v="576"/>
    <x v="18"/>
    <n v="0.86"/>
    <n v="0.28360000000000002"/>
    <x v="3"/>
    <x v="21"/>
    <n v="8"/>
    <x v="1"/>
    <x v="0"/>
  </r>
  <r>
    <n v="577"/>
    <x v="12"/>
    <n v="0.87"/>
    <n v="0.29849999999999999"/>
    <x v="5"/>
    <x v="31"/>
    <n v="30"/>
    <x v="0"/>
    <x v="0"/>
  </r>
  <r>
    <n v="578"/>
    <x v="12"/>
    <n v="0.87"/>
    <n v="0.29849999999999999"/>
    <x v="0"/>
    <x v="94"/>
    <n v="72"/>
    <x v="0"/>
    <x v="0"/>
  </r>
  <r>
    <n v="579"/>
    <x v="12"/>
    <n v="0.87"/>
    <n v="0.29849999999999999"/>
    <x v="0"/>
    <x v="11"/>
    <n v="58"/>
    <x v="0"/>
    <x v="0"/>
  </r>
  <r>
    <n v="580"/>
    <x v="12"/>
    <n v="0.93"/>
    <n v="0.28360000000000002"/>
    <x v="4"/>
    <x v="16"/>
    <n v="28"/>
    <x v="0"/>
    <x v="0"/>
  </r>
  <r>
    <n v="581"/>
    <x v="13"/>
    <n v="0.93"/>
    <n v="0.32840000000000003"/>
    <x v="15"/>
    <x v="96"/>
    <n v="41"/>
    <x v="1"/>
    <x v="0"/>
  </r>
  <r>
    <n v="582"/>
    <x v="13"/>
    <n v="0.93"/>
    <n v="0.32840000000000003"/>
    <x v="18"/>
    <x v="40"/>
    <n v="48"/>
    <x v="1"/>
    <x v="0"/>
  </r>
  <r>
    <n v="583"/>
    <x v="13"/>
    <n v="0.93"/>
    <n v="0.32840000000000003"/>
    <x v="17"/>
    <x v="30"/>
    <n v="47"/>
    <x v="1"/>
    <x v="0"/>
  </r>
  <r>
    <n v="584"/>
    <x v="13"/>
    <n v="0.93"/>
    <n v="0.35820000000000002"/>
    <x v="3"/>
    <x v="49"/>
    <n v="36"/>
    <x v="1"/>
    <x v="0"/>
  </r>
  <r>
    <n v="585"/>
    <x v="18"/>
    <n v="0.93"/>
    <n v="0.4627"/>
    <x v="5"/>
    <x v="76"/>
    <n v="43"/>
    <x v="1"/>
    <x v="0"/>
  </r>
  <r>
    <n v="586"/>
    <x v="13"/>
    <n v="0.93"/>
    <n v="0.32840000000000003"/>
    <x v="5"/>
    <x v="96"/>
    <n v="36"/>
    <x v="1"/>
    <x v="0"/>
  </r>
  <r>
    <n v="587"/>
    <x v="18"/>
    <n v="0.93"/>
    <n v="0.35820000000000002"/>
    <x v="3"/>
    <x v="16"/>
    <n v="26"/>
    <x v="1"/>
    <x v="0"/>
  </r>
  <r>
    <n v="588"/>
    <x v="11"/>
    <n v="0.55000000000000004"/>
    <n v="0.19400000000000001"/>
    <x v="5"/>
    <x v="140"/>
    <n v="24"/>
    <x v="0"/>
    <x v="2"/>
  </r>
  <r>
    <n v="589"/>
    <x v="19"/>
    <n v="0.55000000000000004"/>
    <n v="0.1045"/>
    <x v="4"/>
    <x v="70"/>
    <n v="84"/>
    <x v="0"/>
    <x v="2"/>
  </r>
  <r>
    <n v="590"/>
    <x v="11"/>
    <n v="0.69"/>
    <n v="8.9599999999999999E-2"/>
    <x v="0"/>
    <x v="143"/>
    <n v="104"/>
    <x v="0"/>
    <x v="1"/>
  </r>
  <r>
    <n v="591"/>
    <x v="11"/>
    <n v="0.69"/>
    <n v="8.9599999999999999E-2"/>
    <x v="0"/>
    <x v="83"/>
    <n v="79"/>
    <x v="0"/>
    <x v="1"/>
  </r>
  <r>
    <n v="592"/>
    <x v="12"/>
    <n v="0.74"/>
    <n v="8.9599999999999999E-2"/>
    <x v="17"/>
    <x v="11"/>
    <n v="59"/>
    <x v="0"/>
    <x v="1"/>
  </r>
  <r>
    <n v="593"/>
    <x v="12"/>
    <n v="0.74"/>
    <n v="8.9599999999999999E-2"/>
    <x v="4"/>
    <x v="49"/>
    <n v="38"/>
    <x v="0"/>
    <x v="1"/>
  </r>
  <r>
    <n v="594"/>
    <x v="12"/>
    <n v="0.74"/>
    <n v="8.9599999999999999E-2"/>
    <x v="3"/>
    <x v="2"/>
    <n v="27"/>
    <x v="0"/>
    <x v="1"/>
  </r>
  <r>
    <n v="595"/>
    <x v="13"/>
    <n v="0.8"/>
    <n v="0.16420000000000001"/>
    <x v="3"/>
    <x v="20"/>
    <n v="16"/>
    <x v="1"/>
    <x v="0"/>
  </r>
  <r>
    <n v="596"/>
    <x v="12"/>
    <n v="0.75"/>
    <n v="0.1343"/>
    <x v="3"/>
    <x v="33"/>
    <n v="9"/>
    <x v="0"/>
    <x v="1"/>
  </r>
  <r>
    <n v="597"/>
    <x v="12"/>
    <n v="0.75"/>
    <n v="0.1343"/>
    <x v="5"/>
    <x v="6"/>
    <n v="3"/>
    <x v="0"/>
    <x v="1"/>
  </r>
  <r>
    <n v="598"/>
    <x v="12"/>
    <n v="0.75"/>
    <n v="0.16420000000000001"/>
    <x v="3"/>
    <x v="6"/>
    <n v="2"/>
    <x v="0"/>
    <x v="1"/>
  </r>
  <r>
    <n v="599"/>
    <x v="11"/>
    <n v="0.75"/>
    <n v="0.1045"/>
    <x v="5"/>
    <x v="5"/>
    <n v="1"/>
    <x v="0"/>
    <x v="1"/>
  </r>
  <r>
    <n v="600"/>
    <x v="12"/>
    <n v="0.8"/>
    <n v="0.1045"/>
    <x v="3"/>
    <x v="22"/>
    <n v="4"/>
    <x v="0"/>
    <x v="0"/>
  </r>
  <r>
    <n v="601"/>
    <x v="13"/>
    <n v="0.8"/>
    <n v="0.1343"/>
    <x v="3"/>
    <x v="20"/>
    <n v="16"/>
    <x v="1"/>
    <x v="0"/>
  </r>
  <r>
    <n v="602"/>
    <x v="13"/>
    <n v="0.86"/>
    <n v="8.9599999999999999E-2"/>
    <x v="4"/>
    <x v="29"/>
    <n v="60"/>
    <x v="1"/>
    <x v="0"/>
  </r>
  <r>
    <n v="603"/>
    <x v="13"/>
    <n v="0.86"/>
    <n v="8.9599999999999999E-2"/>
    <x v="4"/>
    <x v="119"/>
    <n v="157"/>
    <x v="1"/>
    <x v="0"/>
  </r>
  <r>
    <n v="604"/>
    <x v="12"/>
    <n v="0.86"/>
    <n v="8.9599999999999999E-2"/>
    <x v="15"/>
    <x v="73"/>
    <n v="101"/>
    <x v="0"/>
    <x v="0"/>
  </r>
  <r>
    <n v="605"/>
    <x v="12"/>
    <n v="0.86"/>
    <n v="0.1045"/>
    <x v="3"/>
    <x v="47"/>
    <n v="49"/>
    <x v="0"/>
    <x v="0"/>
  </r>
  <r>
    <n v="606"/>
    <x v="12"/>
    <n v="0.93"/>
    <n v="0.1045"/>
    <x v="3"/>
    <x v="10"/>
    <n v="30"/>
    <x v="0"/>
    <x v="0"/>
  </r>
  <r>
    <n v="607"/>
    <x v="12"/>
    <n v="0.93"/>
    <n v="0.1045"/>
    <x v="5"/>
    <x v="95"/>
    <n v="29"/>
    <x v="0"/>
    <x v="0"/>
  </r>
  <r>
    <n v="608"/>
    <x v="12"/>
    <n v="0.93"/>
    <n v="0.1045"/>
    <x v="3"/>
    <x v="17"/>
    <n v="31"/>
    <x v="0"/>
    <x v="0"/>
  </r>
  <r>
    <n v="609"/>
    <x v="1"/>
    <n v="0.8"/>
    <n v="0"/>
    <x v="4"/>
    <x v="49"/>
    <n v="38"/>
    <x v="0"/>
    <x v="0"/>
  </r>
  <r>
    <n v="610"/>
    <x v="2"/>
    <n v="0.86"/>
    <n v="0"/>
    <x v="5"/>
    <x v="71"/>
    <n v="4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A29A8-3E14-44BA-B241-92ADC2E0C174}" name="PivotTable2" cacheId="10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B32:AC33" firstHeaderRow="0" firstDataRow="1" firstDataCol="0"/>
  <pivotFields count="9">
    <pivotField compact="0" outline="0" showAll="0"/>
    <pivotField compact="0" outline="0" showAll="0"/>
    <pivotField compact="0" outline="0" showAll="0"/>
    <pivotField compact="0" outline="0" showAll="0"/>
    <pivotField dataField="1" compact="0" outline="0"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compact="0" outline="0" showAll="0"/>
    <pivotField compact="0" outline="0" showAll="0"/>
    <pivotField compact="0" outline="0" showAll="0"/>
    <pivotField compact="0" outline="0" showAll="0"/>
  </pivotFields>
  <rowItems count="1">
    <i/>
  </rowItems>
  <colFields count="1">
    <field x="-2"/>
  </colFields>
  <colItems count="2">
    <i>
      <x/>
    </i>
    <i i="1">
      <x v="1"/>
    </i>
  </colItems>
  <dataFields count="2">
    <dataField name="Sum of registered" fld="5" baseField="0" baseItem="0"/>
    <dataField name="Sum of casual" fld="4" baseField="0" baseItem="0"/>
  </dataFields>
  <formats count="3">
    <format dxfId="19">
      <pivotArea type="all" dataOnly="0" outline="0" fieldPosition="0"/>
    </format>
    <format dxfId="20">
      <pivotArea outline="0" collapsedLevelsAreSubtotals="1" fieldPosition="0"/>
    </format>
    <format dxfId="2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329107-DF1A-423B-AA8C-AAEA1C0BC628}" name="PivotTable3" cacheId="10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3:B38" firstHeaderRow="1" firstDataRow="1" firstDataCol="1"/>
  <pivotFields count="9">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5">
        <item x="1"/>
        <item x="0"/>
        <item x="2"/>
        <item x="3"/>
        <item t="default"/>
      </items>
    </pivotField>
    <pivotField compact="0" outline="0" showAll="0"/>
  </pivotFields>
  <rowFields count="1">
    <field x="7"/>
  </rowFields>
  <rowItems count="5">
    <i>
      <x/>
    </i>
    <i>
      <x v="1"/>
    </i>
    <i>
      <x v="2"/>
    </i>
    <i>
      <x v="3"/>
    </i>
    <i t="grand">
      <x/>
    </i>
  </rowItems>
  <colItems count="1">
    <i/>
  </colItems>
  <dataFields count="1">
    <dataField name="Average of cnt" fld="6" subtotal="average" baseField="0" baseItem="0"/>
  </dataFields>
  <formats count="9">
    <format dxfId="10">
      <pivotArea outline="0" fieldPosition="0">
        <references count="1">
          <reference field="7" count="1" selected="0">
            <x v="1"/>
          </reference>
        </references>
      </pivotArea>
    </format>
    <format dxfId="11">
      <pivotArea outline="0" fieldPosition="0">
        <references count="1">
          <reference field="7" count="2" selected="0">
            <x v="0"/>
            <x v="2"/>
          </reference>
        </references>
      </pivotArea>
    </format>
    <format dxfId="12">
      <pivotArea grandRow="1" outline="0" collapsedLevelsAreSubtotals="1" fieldPosition="0"/>
    </format>
    <format dxfId="13">
      <pivotArea type="all" dataOnly="0" outline="0" fieldPosition="0"/>
    </format>
    <format dxfId="14">
      <pivotArea outline="0" collapsedLevelsAreSubtotals="1" fieldPosition="0"/>
    </format>
    <format dxfId="15">
      <pivotArea field="7" type="button" dataOnly="0" labelOnly="1" outline="0" axis="axisRow" fieldPosition="0"/>
    </format>
    <format dxfId="16">
      <pivotArea dataOnly="0" labelOnly="1" outline="0" fieldPosition="0">
        <references count="1">
          <reference field="7" count="0"/>
        </references>
      </pivotArea>
    </format>
    <format dxfId="17">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47DCE7-378D-481A-8BE9-9BF6FA655DC1}" name="PivotTable1" cacheId="10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0:B11" firstHeaderRow="0" firstDataRow="1" firstDataCol="0"/>
  <pivotFields count="9">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s>
  <rowItems count="1">
    <i/>
  </rowItems>
  <colFields count="1">
    <field x="-2"/>
  </colFields>
  <colItems count="2">
    <i>
      <x/>
    </i>
    <i i="1">
      <x v="1"/>
    </i>
  </colItems>
  <dataFields count="2">
    <dataField name="Sum of casual" fld="4" baseField="0" baseItem="0"/>
    <dataField name="Sum of registered" fld="5" baseField="0" baseItem="0"/>
  </dataFields>
  <formats count="3">
    <format dxfId="7">
      <pivotArea type="all" dataOnly="0" outline="0" fieldPosition="0"/>
    </format>
    <format dxfId="8">
      <pivotArea outline="0" collapsedLevelsAreSubtotals="1" fieldPosition="0"/>
    </format>
    <format dxfId="9">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A8775-5F93-4486-A272-EA79791F586A}" name="PivotTable5" cacheId="10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B10:AC15" firstHeaderRow="1" firstDataRow="1" firstDataCol="1"/>
  <pivotFields count="9">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5">
        <item x="3"/>
        <item x="2"/>
        <item x="1"/>
        <item x="0"/>
        <item t="default"/>
      </items>
    </pivotField>
  </pivotFields>
  <rowFields count="1">
    <field x="8"/>
  </rowFields>
  <rowItems count="5">
    <i>
      <x/>
    </i>
    <i>
      <x v="1"/>
    </i>
    <i>
      <x v="2"/>
    </i>
    <i>
      <x v="3"/>
    </i>
    <i t="grand">
      <x/>
    </i>
  </rowItems>
  <colItems count="1">
    <i/>
  </colItems>
  <dataFields count="1">
    <dataField name="Average of cnt" fld="6" subtotal="average" baseField="0" baseItem="0" numFmtId="2"/>
  </dataFields>
  <formats count="7">
    <format dxfId="0">
      <pivotArea outline="0" collapsedLevelsAreSubtotals="1" fieldPosition="0"/>
    </format>
    <format dxfId="1">
      <pivotArea type="all" dataOnly="0" outline="0" fieldPosition="0"/>
    </format>
    <format dxfId="2">
      <pivotArea outline="0" collapsedLevelsAreSubtotals="1" fieldPosition="0"/>
    </format>
    <format dxfId="3">
      <pivotArea field="8" type="button" dataOnly="0" labelOnly="1" outline="0" axis="axisRow" fieldPosition="0"/>
    </format>
    <format dxfId="4">
      <pivotArea dataOnly="0" labelOnly="1" outline="0" fieldPosition="0">
        <references count="1">
          <reference field="8" count="0"/>
        </references>
      </pivotArea>
    </format>
    <format dxfId="5">
      <pivotArea dataOnly="0" labelOnly="1" grandRow="1" outline="0" fieldPosition="0"/>
    </format>
    <format dxfId="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B7FE-BC53-4124-AB19-74F98BDD2C3F}">
  <dimension ref="A1:AK38"/>
  <sheetViews>
    <sheetView showGridLines="0" tabSelected="1" topLeftCell="A10" workbookViewId="0">
      <selection activeCell="Y8" sqref="Y8"/>
    </sheetView>
  </sheetViews>
  <sheetFormatPr defaultRowHeight="14.45"/>
  <cols>
    <col min="1" max="1" width="13.5703125" customWidth="1"/>
    <col min="2" max="2" width="17" customWidth="1"/>
    <col min="3" max="3" width="14" customWidth="1"/>
    <col min="4" max="4" width="6" customWidth="1"/>
    <col min="5" max="10" width="2.28515625" bestFit="1" customWidth="1"/>
    <col min="11" max="19" width="3.28515625" bestFit="1" customWidth="1"/>
    <col min="20" max="20" width="5.85546875" customWidth="1"/>
    <col min="21" max="27" width="3.28515625" bestFit="1" customWidth="1"/>
    <col min="28" max="28" width="17" bestFit="1" customWidth="1"/>
    <col min="29" max="29" width="13.5703125" bestFit="1" customWidth="1"/>
    <col min="30" max="30" width="11.7109375" bestFit="1" customWidth="1"/>
    <col min="31" max="44" width="9.140625" bestFit="1" customWidth="1"/>
    <col min="45" max="45" width="11.7109375" bestFit="1" customWidth="1"/>
    <col min="46" max="46" width="10.5703125" bestFit="1" customWidth="1"/>
    <col min="47" max="483" width="9.140625" bestFit="1" customWidth="1"/>
  </cols>
  <sheetData>
    <row r="1" spans="1:37">
      <c r="A1" s="30" t="s">
        <v>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spans="1:37">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spans="1:37">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row>
    <row r="4" spans="1:37">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row>
    <row r="7" spans="1:37">
      <c r="A7" s="6" t="s">
        <v>1</v>
      </c>
      <c r="B7" s="7"/>
      <c r="C7" s="7"/>
      <c r="D7" s="7"/>
      <c r="E7" s="7"/>
      <c r="F7" s="7"/>
      <c r="G7" s="7"/>
      <c r="H7" s="7"/>
      <c r="I7" s="7"/>
      <c r="J7" s="7"/>
      <c r="K7" s="7"/>
      <c r="L7" s="7"/>
      <c r="M7" s="7"/>
      <c r="N7" s="7"/>
      <c r="O7" s="7"/>
      <c r="P7" s="7"/>
      <c r="Q7" s="7"/>
      <c r="R7" s="7"/>
      <c r="S7" s="7"/>
      <c r="T7" s="8"/>
      <c r="AB7" s="18" t="s">
        <v>2</v>
      </c>
      <c r="AC7" s="19"/>
      <c r="AD7" s="19"/>
      <c r="AE7" s="19"/>
      <c r="AF7" s="19"/>
      <c r="AG7" s="19"/>
      <c r="AH7" s="19"/>
      <c r="AI7" s="19"/>
      <c r="AJ7" s="19"/>
      <c r="AK7" s="20"/>
    </row>
    <row r="8" spans="1:37">
      <c r="A8" s="9"/>
      <c r="B8" s="10"/>
      <c r="C8" s="10"/>
      <c r="D8" s="10"/>
      <c r="E8" s="10"/>
      <c r="F8" s="10"/>
      <c r="G8" s="10"/>
      <c r="H8" s="10"/>
      <c r="I8" s="10"/>
      <c r="J8" s="10"/>
      <c r="K8" s="10"/>
      <c r="L8" s="10"/>
      <c r="M8" s="10"/>
      <c r="N8" s="10"/>
      <c r="O8" s="10"/>
      <c r="P8" s="10"/>
      <c r="Q8" s="10"/>
      <c r="R8" s="10"/>
      <c r="S8" s="10"/>
      <c r="T8" s="11"/>
      <c r="AB8" s="21"/>
      <c r="AC8" s="22"/>
      <c r="AD8" s="22"/>
      <c r="AE8" s="22"/>
      <c r="AF8" s="22"/>
      <c r="AG8" s="22"/>
      <c r="AH8" s="22"/>
      <c r="AI8" s="22"/>
      <c r="AJ8" s="22"/>
      <c r="AK8" s="23"/>
    </row>
    <row r="10" spans="1:37">
      <c r="A10" s="1" t="s">
        <v>3</v>
      </c>
      <c r="B10" s="1" t="s">
        <v>4</v>
      </c>
      <c r="AB10" s="2" t="s">
        <v>5</v>
      </c>
      <c r="AC10" s="3" t="s">
        <v>6</v>
      </c>
    </row>
    <row r="11" spans="1:37">
      <c r="A11" s="1">
        <v>2746</v>
      </c>
      <c r="B11" s="1">
        <v>31152</v>
      </c>
      <c r="AB11" s="3" t="s">
        <v>7</v>
      </c>
      <c r="AC11" s="4">
        <v>78.925531914893611</v>
      </c>
    </row>
    <row r="12" spans="1:37">
      <c r="AB12" s="3" t="s">
        <v>8</v>
      </c>
      <c r="AC12" s="4">
        <v>57.598101265822784</v>
      </c>
    </row>
    <row r="13" spans="1:37">
      <c r="AB13" s="3" t="s">
        <v>9</v>
      </c>
      <c r="AC13" s="4">
        <v>42.22429906542056</v>
      </c>
    </row>
    <row r="14" spans="1:37">
      <c r="AB14" s="3" t="s">
        <v>10</v>
      </c>
      <c r="AC14" s="4">
        <v>40.43010752688172</v>
      </c>
    </row>
    <row r="15" spans="1:37">
      <c r="AB15" s="3" t="s">
        <v>11</v>
      </c>
      <c r="AC15" s="4">
        <v>55.570491803278685</v>
      </c>
    </row>
    <row r="29" spans="1:37">
      <c r="AB29" s="24" t="s">
        <v>12</v>
      </c>
      <c r="AC29" s="25"/>
      <c r="AD29" s="25"/>
      <c r="AE29" s="25"/>
      <c r="AF29" s="25"/>
      <c r="AG29" s="25"/>
      <c r="AH29" s="25"/>
      <c r="AI29" s="25"/>
      <c r="AJ29" s="25"/>
      <c r="AK29" s="26"/>
    </row>
    <row r="30" spans="1:37">
      <c r="A30" s="12" t="s">
        <v>13</v>
      </c>
      <c r="B30" s="13"/>
      <c r="C30" s="13"/>
      <c r="D30" s="13"/>
      <c r="E30" s="13"/>
      <c r="F30" s="13"/>
      <c r="G30" s="13"/>
      <c r="H30" s="13"/>
      <c r="I30" s="13"/>
      <c r="J30" s="13"/>
      <c r="K30" s="13"/>
      <c r="L30" s="13"/>
      <c r="M30" s="13"/>
      <c r="N30" s="13"/>
      <c r="O30" s="13"/>
      <c r="P30" s="13"/>
      <c r="Q30" s="13"/>
      <c r="R30" s="13"/>
      <c r="S30" s="13"/>
      <c r="T30" s="14"/>
      <c r="AB30" s="27"/>
      <c r="AC30" s="28"/>
      <c r="AD30" s="28"/>
      <c r="AE30" s="28"/>
      <c r="AF30" s="28"/>
      <c r="AG30" s="28"/>
      <c r="AH30" s="28"/>
      <c r="AI30" s="28"/>
      <c r="AJ30" s="28"/>
      <c r="AK30" s="29"/>
    </row>
    <row r="31" spans="1:37">
      <c r="A31" s="15"/>
      <c r="B31" s="16"/>
      <c r="C31" s="16"/>
      <c r="D31" s="16"/>
      <c r="E31" s="16"/>
      <c r="F31" s="16"/>
      <c r="G31" s="16"/>
      <c r="H31" s="16"/>
      <c r="I31" s="16"/>
      <c r="J31" s="16"/>
      <c r="K31" s="16"/>
      <c r="L31" s="16"/>
      <c r="M31" s="16"/>
      <c r="N31" s="16"/>
      <c r="O31" s="16"/>
      <c r="P31" s="16"/>
      <c r="Q31" s="16"/>
      <c r="R31" s="16"/>
      <c r="S31" s="16"/>
      <c r="T31" s="17"/>
    </row>
    <row r="32" spans="1:37">
      <c r="AB32" s="3" t="s">
        <v>4</v>
      </c>
      <c r="AC32" s="3" t="s">
        <v>3</v>
      </c>
    </row>
    <row r="33" spans="1:29">
      <c r="A33" s="2" t="s">
        <v>14</v>
      </c>
      <c r="B33" s="3" t="s">
        <v>6</v>
      </c>
      <c r="AB33" s="3">
        <v>31152</v>
      </c>
      <c r="AC33" s="3">
        <v>2746</v>
      </c>
    </row>
    <row r="34" spans="1:29">
      <c r="A34" s="3" t="s">
        <v>15</v>
      </c>
      <c r="B34" s="4">
        <v>48.274336283185839</v>
      </c>
    </row>
    <row r="35" spans="1:29">
      <c r="A35" s="3" t="s">
        <v>7</v>
      </c>
      <c r="B35" s="5">
        <v>62.032710280373834</v>
      </c>
    </row>
    <row r="36" spans="1:29">
      <c r="A36" s="3" t="s">
        <v>8</v>
      </c>
      <c r="B36" s="4">
        <v>89.351351351351354</v>
      </c>
    </row>
    <row r="37" spans="1:29">
      <c r="A37" s="3" t="s">
        <v>9</v>
      </c>
      <c r="B37" s="3">
        <v>47.6</v>
      </c>
    </row>
    <row r="38" spans="1:29">
      <c r="A38" s="3" t="s">
        <v>11</v>
      </c>
      <c r="B38" s="4">
        <v>55.570491803278685</v>
      </c>
    </row>
  </sheetData>
  <mergeCells count="5">
    <mergeCell ref="A7:T8"/>
    <mergeCell ref="A30:T31"/>
    <mergeCell ref="AB7:AK8"/>
    <mergeCell ref="AB29:AK30"/>
    <mergeCell ref="A1:AC4"/>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Pranjal Taye</dc:creator>
  <cp:keywords/>
  <dc:description/>
  <cp:lastModifiedBy/>
  <cp:revision/>
  <dcterms:created xsi:type="dcterms:W3CDTF">2020-08-27T08:45:53Z</dcterms:created>
  <dcterms:modified xsi:type="dcterms:W3CDTF">2026-07-24T21:59:51Z</dcterms:modified>
  <cp:category/>
  <cp:contentStatus/>
</cp:coreProperties>
</file>