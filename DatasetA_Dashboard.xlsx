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FABF118A-E842-42EB-B98D-25203439A8E4}" xr6:coauthVersionLast="47" xr6:coauthVersionMax="47" xr10:uidLastSave="{00000000-0000-0000-0000-000000000000}"/>
  <bookViews>
    <workbookView xWindow="-108" yWindow="-108" windowWidth="23256" windowHeight="12456" xr2:uid="{8557DB94-3C03-4555-8BE0-CB7ACCA00913}"/>
  </bookViews>
  <sheets>
    <sheet name="datasetA_Dashboard" sheetId="1" r:id="rId1"/>
  </sheets>
  <externalReferences>
    <externalReference r:id="rId2"/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1" l="1"/>
  <c r="A10" i="1"/>
  <c r="F10" i="1"/>
  <c r="K10" i="1"/>
  <c r="P10" i="1"/>
</calcChain>
</file>

<file path=xl/sharedStrings.xml><?xml version="1.0" encoding="utf-8"?>
<sst xmlns="http://schemas.openxmlformats.org/spreadsheetml/2006/main" count="18" uniqueCount="18">
  <si>
    <t xml:space="preserve">DATASET A DASHBOARD   </t>
  </si>
  <si>
    <t>Customer &amp; Environmental Insights</t>
  </si>
  <si>
    <t>Total Rentals</t>
  </si>
  <si>
    <t>Registered Users</t>
  </si>
  <si>
    <t>Casual Users</t>
  </si>
  <si>
    <t>Average Temperature</t>
  </si>
  <si>
    <t>Dataset Snapshot</t>
  </si>
  <si>
    <t>Executive Summary</t>
  </si>
  <si>
    <t>Attributes</t>
  </si>
  <si>
    <t>Values</t>
  </si>
  <si>
    <t>Source</t>
  </si>
  <si>
    <t>Dataset 1 + Dataset 2</t>
  </si>
  <si>
    <t>Records</t>
  </si>
  <si>
    <t>Features</t>
  </si>
  <si>
    <t>Month</t>
  </si>
  <si>
    <t>January</t>
  </si>
  <si>
    <t>Weather Types</t>
  </si>
  <si>
    <t>Stretegic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</si>
</sst>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20"/>
      <color rgb="FF203764"/>
      <name val="Segoe UI Black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0"/>
      <color theme="4" tint="-0.499984740745262"/>
      <name val="Segoe UI Black"/>
    </font>
    <font>
      <b/>
      <sz val="28"/>
      <color theme="4" tint="-0.499984740745262"/>
      <name val="Calibri"/>
      <family val="2"/>
      <scheme val="minor"/>
    </font>
    <font>
      <sz val="16"/>
      <color theme="4" tint="-0.499984740745262"/>
      <name val="Segoe UI Black"/>
    </font>
    <font>
      <sz val="16"/>
      <color theme="1"/>
      <name val="Calibri"/>
      <family val="2"/>
      <scheme val="minor"/>
    </font>
    <font>
      <sz val="16"/>
      <color rgb="FF203764"/>
      <name val="Segoe UI Black"/>
    </font>
    <font>
      <sz val="26"/>
      <color rgb="FF1F4E78"/>
      <name val="Arial Black"/>
    </font>
    <font>
      <b/>
      <sz val="28"/>
      <color theme="8" tint="0.39997558519241921"/>
      <name val="Calibri"/>
      <scheme val="minor"/>
    </font>
    <font>
      <b/>
      <sz val="28"/>
      <color theme="8" tint="0.39997558519241921"/>
      <name val="Arial Black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5">
    <border>
      <left/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/>
      <top style="thick">
        <color theme="4" tint="-0.499984740745262"/>
      </top>
      <bottom style="thick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49" fontId="2" fillId="0" borderId="7" xfId="0" applyNumberFormat="1" applyFont="1" applyBorder="1"/>
    <xf numFmtId="0" fontId="3" fillId="0" borderId="8" xfId="0" applyFont="1" applyBorder="1"/>
    <xf numFmtId="0" fontId="2" fillId="0" borderId="9" xfId="0" applyFont="1" applyBorder="1"/>
    <xf numFmtId="0" fontId="3" fillId="0" borderId="10" xfId="0" applyFont="1" applyBorder="1"/>
    <xf numFmtId="49" fontId="2" fillId="0" borderId="9" xfId="0" applyNumberFormat="1" applyFont="1" applyBorder="1"/>
    <xf numFmtId="0" fontId="2" fillId="0" borderId="11" xfId="0" applyFont="1" applyBorder="1"/>
    <xf numFmtId="0" fontId="2" fillId="0" borderId="12" xfId="0" applyFont="1" applyBorder="1"/>
    <xf numFmtId="49" fontId="2" fillId="0" borderId="0" xfId="0" applyNumberFormat="1" applyFont="1"/>
    <xf numFmtId="0" fontId="2" fillId="0" borderId="0" xfId="0" applyFont="1"/>
    <xf numFmtId="49" fontId="2" fillId="4" borderId="0" xfId="0" applyNumberFormat="1" applyFont="1" applyFill="1"/>
    <xf numFmtId="0" fontId="2" fillId="4" borderId="0" xfId="0" applyFont="1" applyFill="1"/>
    <xf numFmtId="0" fontId="0" fillId="0" borderId="19" xfId="0" applyBorder="1"/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center"/>
    </xf>
    <xf numFmtId="1" fontId="0" fillId="0" borderId="0" xfId="0" applyNumberFormat="1"/>
    <xf numFmtId="0" fontId="9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5" fillId="2" borderId="18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20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0" fillId="5" borderId="24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" fontId="9" fillId="4" borderId="6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20" xfId="0" applyFont="1" applyFill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</cellXfs>
  <cellStyles count="1">
    <cellStyle name="Normal" xfId="0" builtinId="0"/>
  </cellStyles>
  <dxfs count="7">
    <dxf>
      <font>
        <b val="0"/>
        <sz val="14"/>
      </font>
      <border>
        <left style="thick">
          <color theme="4" tint="-0.499984740745262"/>
        </left>
        <right/>
        <top style="thick">
          <color theme="4" tint="-0.499984740745262"/>
        </top>
        <bottom style="thick">
          <color theme="4" tint="-0.499984740745262"/>
        </bottom>
        <vertical style="thick">
          <color theme="4" tint="-0.499984740745262"/>
        </vertical>
        <horizontal style="thick">
          <color theme="4" tint="-0.499984740745262"/>
        </horizontal>
      </border>
    </dxf>
    <dxf>
      <font>
        <b/>
        <sz val="14"/>
      </font>
      <border>
        <left/>
        <right style="thick">
          <color theme="4" tint="-0.499984740745262"/>
        </right>
        <top style="thick">
          <color theme="4" tint="-0.499984740745262"/>
        </top>
        <bottom style="thick">
          <color theme="4" tint="-0.499984740745262"/>
        </bottom>
        <vertical style="thick">
          <color theme="4" tint="-0.499984740745262"/>
        </vertical>
        <horizontal style="thick">
          <color theme="4" tint="-0.499984740745262"/>
        </horizontal>
      </border>
    </dxf>
    <dxf>
      <border>
        <top style="thick">
          <color theme="4" tint="-0.499984740745262"/>
        </top>
      </border>
    </dxf>
    <dxf>
      <border>
        <bottom style="thick">
          <color theme="4" tint="-0.499984740745262"/>
        </bottom>
      </border>
    </dxf>
    <dxf>
      <border>
        <left style="thick">
          <color theme="4" tint="-0.499984740745262"/>
        </left>
        <right style="thick">
          <color theme="4" tint="-0.499984740745262"/>
        </right>
        <top style="thick">
          <color theme="4" tint="-0.499984740745262"/>
        </top>
        <bottom style="thick">
          <color theme="4" tint="-0.499984740745262"/>
        </bottom>
      </border>
    </dxf>
    <dxf>
      <font>
        <b val="0"/>
        <sz val="14"/>
      </font>
    </dxf>
    <dxf>
      <font>
        <b val="0"/>
        <sz val="14"/>
      </font>
      <border>
        <left style="thick">
          <color theme="4" tint="-0.499984740745262"/>
        </left>
        <right style="thick">
          <color theme="4" tint="-0.499984740745262"/>
        </right>
        <top/>
        <bottom/>
        <vertical style="thick">
          <color theme="4" tint="-0.499984740745262"/>
        </vertical>
        <horizontal style="thick">
          <color theme="4" tint="-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Rental Demand by Temperature</a:t>
            </a:r>
          </a:p>
        </c:rich>
      </c:tx>
      <c:layout>
        <c:manualLayout>
          <c:xMode val="edge"/>
          <c:yMode val="edge"/>
          <c:x val="0.20481159420289854"/>
          <c:y val="5.1079169623285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C4C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C4C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C4C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[2]Dataset2_Detailed_Analysis!$B$33</c:f>
              <c:strCache>
                <c:ptCount val="1"/>
              </c:strCache>
            </c:strRef>
          </c:tx>
          <c:spPr>
            <a:solidFill>
              <a:srgbClr val="4C4C4C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Very Low</c:v>
              </c:pt>
              <c:pt idx="1">
                <c:v>Low</c:v>
              </c:pt>
              <c:pt idx="2">
                <c:v>Moderate</c:v>
              </c:pt>
              <c:pt idx="3">
                <c:v>High</c:v>
              </c:pt>
            </c:strLit>
          </c:cat>
          <c:val>
            <c:numLit>
              <c:formatCode>General</c:formatCode>
              <c:ptCount val="4"/>
              <c:pt idx="0">
                <c:v>48.274336283185839</c:v>
              </c:pt>
              <c:pt idx="1">
                <c:v>62.032710280373834</c:v>
              </c:pt>
              <c:pt idx="2">
                <c:v>89.351351351351354</c:v>
              </c:pt>
              <c:pt idx="3">
                <c:v>47.6</c:v>
              </c:pt>
            </c:numLit>
          </c:val>
          <c:extLst>
            <c:ext xmlns:c16="http://schemas.microsoft.com/office/drawing/2014/chart" uri="{C3380CC4-5D6E-409C-BE32-E72D297353CC}">
              <c16:uniqueId val="{00000000-975C-48F9-8DC3-AEDF9C22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608071"/>
        <c:axId val="867610119"/>
      </c:barChart>
      <c:catAx>
        <c:axId val="867608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610119"/>
        <c:crosses val="autoZero"/>
        <c:auto val="1"/>
        <c:lblAlgn val="ctr"/>
        <c:lblOffset val="100"/>
        <c:noMultiLvlLbl val="0"/>
      </c:catAx>
      <c:valAx>
        <c:axId val="8676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608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1905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Rental Demand by Humidity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97470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97470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97470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[2]Dataset2_Detailed_Analysis!$AC$10</c:f>
              <c:strCache>
                <c:ptCount val="1"/>
              </c:strCache>
            </c:strRef>
          </c:tx>
          <c:spPr>
            <a:ln w="28575" cap="rnd">
              <a:solidFill>
                <a:srgbClr val="97470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Low</c:v>
              </c:pt>
              <c:pt idx="1">
                <c:v>Moderate</c:v>
              </c:pt>
              <c:pt idx="2">
                <c:v>High</c:v>
              </c:pt>
              <c:pt idx="3">
                <c:v>Very High</c:v>
              </c:pt>
            </c:strLit>
          </c:cat>
          <c:val>
            <c:numLit>
              <c:formatCode>General</c:formatCode>
              <c:ptCount val="4"/>
              <c:pt idx="0">
                <c:v>78.925531914893611</c:v>
              </c:pt>
              <c:pt idx="1">
                <c:v>57.598101265822784</c:v>
              </c:pt>
              <c:pt idx="2">
                <c:v>42.22429906542056</c:v>
              </c:pt>
              <c:pt idx="3">
                <c:v>40.43010752688172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ADE-4362-A0A3-4D470E78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066375"/>
        <c:axId val="1904688135"/>
      </c:lineChart>
      <c:catAx>
        <c:axId val="891066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88135"/>
        <c:crosses val="autoZero"/>
        <c:auto val="1"/>
        <c:lblAlgn val="ctr"/>
        <c:lblOffset val="100"/>
        <c:noMultiLvlLbl val="0"/>
      </c:catAx>
      <c:valAx>
        <c:axId val="190468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66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1905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Customer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[3]dataset2!$L$14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4-4ACF-AC1D-97115ED11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4-4ACF-AC1D-97115ED11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[3]dataset2!$K$15:$K$16</c:f>
              <c:strCache>
                <c:ptCount val="2"/>
                <c:pt idx="0">
                  <c:v>Registered</c:v>
                </c:pt>
                <c:pt idx="1">
                  <c:v>Casual</c:v>
                </c:pt>
              </c:strCache>
            </c:strRef>
          </c:cat>
          <c:val>
            <c:numRef>
              <c:f>[3]dataset2!$L$15:$L$16</c:f>
              <c:numCache>
                <c:formatCode>#,##0</c:formatCode>
                <c:ptCount val="2"/>
                <c:pt idx="0">
                  <c:v>31152</c:v>
                </c:pt>
                <c:pt idx="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54-4ACF-AC1D-97115ED11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Weather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[3]dataset2!$L$7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B2-4A1E-93A7-DD096EB890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B2-4A1E-93A7-DD096EB890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B2-4A1E-93A7-DD096EB890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B2-4A1E-93A7-DD096EB890E3}"/>
              </c:ext>
            </c:extLst>
          </c:dPt>
          <c:cat>
            <c:strRef>
              <c:f>[3]dataset2!$K$8:$K$11</c:f>
              <c:strCache>
                <c:ptCount val="4"/>
                <c:pt idx="0">
                  <c:v>Clear</c:v>
                </c:pt>
                <c:pt idx="1">
                  <c:v>Mist / Cloudy</c:v>
                </c:pt>
                <c:pt idx="2">
                  <c:v>Light Snow / Light Rain</c:v>
                </c:pt>
                <c:pt idx="3">
                  <c:v>Heavy Rain / Heavy Snow</c:v>
                </c:pt>
              </c:strCache>
            </c:strRef>
          </c:cat>
          <c:val>
            <c:numRef>
              <c:f>[3]dataset2!$L$8:$L$11</c:f>
              <c:numCache>
                <c:formatCode>General</c:formatCode>
                <c:ptCount val="4"/>
                <c:pt idx="0">
                  <c:v>368</c:v>
                </c:pt>
                <c:pt idx="1">
                  <c:v>194</c:v>
                </c:pt>
                <c:pt idx="2">
                  <c:v>47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B2-4A1E-93A7-DD096EB89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180975</xdr:rowOff>
    </xdr:from>
    <xdr:to>
      <xdr:col>7</xdr:col>
      <xdr:colOff>409575</xdr:colOff>
      <xdr:row>49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BE527C0-4170-4081-BB35-7972DAB45759}"/>
            </a:ext>
            <a:ext uri="{147F2762-F138-4A5C-976F-8EAC2B608ADB}">
              <a16:predDERef xmlns:a16="http://schemas.microsoft.com/office/drawing/2014/main" pred="{36B32861-EE6F-44A8-B084-84AFA90FC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31</xdr:row>
      <xdr:rowOff>0</xdr:rowOff>
    </xdr:from>
    <xdr:to>
      <xdr:col>15</xdr:col>
      <xdr:colOff>47625</xdr:colOff>
      <xdr:row>49</xdr:row>
      <xdr:rowOff>161925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40CCF900-1523-4A2A-8B75-3FB15969C605}"/>
            </a:ext>
            <a:ext uri="{147F2762-F138-4A5C-976F-8EAC2B608ADB}">
              <a16:predDERef xmlns:a16="http://schemas.microsoft.com/office/drawing/2014/main" pred="{1865E1BC-1FB3-44D2-8458-7FD40AD8F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14</xdr:row>
      <xdr:rowOff>85725</xdr:rowOff>
    </xdr:from>
    <xdr:to>
      <xdr:col>7</xdr:col>
      <xdr:colOff>285750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DDFBC5-4FA9-4FF7-B617-688DAFD8C8A1}"/>
            </a:ext>
            <a:ext uri="{147F2762-F138-4A5C-976F-8EAC2B608ADB}">
              <a16:predDERef xmlns:a16="http://schemas.microsoft.com/office/drawing/2014/main" pred="{A7E26BC0-C785-45CC-871B-47163897A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533400</xdr:colOff>
      <xdr:row>14</xdr:row>
      <xdr:rowOff>28575</xdr:rowOff>
    </xdr:from>
    <xdr:to>
      <xdr:col>15</xdr:col>
      <xdr:colOff>57150</xdr:colOff>
      <xdr:row>27</xdr:row>
      <xdr:rowOff>123825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71346E09-4F28-4ECD-A6BA-D87F0B9B17C5}"/>
            </a:ext>
            <a:ext uri="{147F2762-F138-4A5C-976F-8EAC2B608ADB}">
              <a16:predDERef xmlns:a16="http://schemas.microsoft.com/office/drawing/2014/main" pred="{85E3C27D-E289-4003-BDF8-BC0038440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371475</xdr:colOff>
      <xdr:row>56</xdr:row>
      <xdr:rowOff>19050</xdr:rowOff>
    </xdr:from>
    <xdr:to>
      <xdr:col>14</xdr:col>
      <xdr:colOff>295275</xdr:colOff>
      <xdr:row>65</xdr:row>
      <xdr:rowOff>57150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48A1BA-0E34-4C90-B24F-9292A615E1E9}"/>
            </a:ext>
            <a:ext uri="{147F2762-F138-4A5C-976F-8EAC2B608ADB}">
              <a16:predDERef xmlns:a16="http://schemas.microsoft.com/office/drawing/2014/main" pred="{995BD874-F253-41CE-A942-945FBCF3DB99}"/>
            </a:ext>
          </a:extLst>
        </xdr:cNvPr>
        <xdr:cNvSpPr txBox="1"/>
      </xdr:nvSpPr>
      <xdr:spPr>
        <a:xfrm>
          <a:off x="2200275" y="10260330"/>
          <a:ext cx="6629400" cy="168402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•</a:t>
          </a:r>
          <a:r>
            <a:rPr lang="en-US" sz="1400" b="0" i="0" u="sng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400" b="1" i="0" u="sng">
              <a:latin typeface="Segoe UI" panose="020B0502040204020203" pitchFamily="34" charset="0"/>
              <a:cs typeface="Segoe UI" panose="020B0502040204020203" pitchFamily="34" charset="0"/>
            </a:rPr>
            <a:t>Customer Base</a:t>
          </a:r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: Registered users contributed 91.9% of total bike rentals, indicating that the bike-sharing service is primarily used by regular commuters.</a:t>
          </a:r>
        </a:p>
        <a:p>
          <a:pPr marL="0" indent="0" algn="l"/>
          <a:endParaRPr lang="en-US" sz="1400" b="0" i="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• </a:t>
          </a:r>
          <a:r>
            <a:rPr lang="en-US" sz="1400" b="1" i="0" u="sng">
              <a:latin typeface="Segoe UI" panose="020B0502040204020203" pitchFamily="34" charset="0"/>
              <a:cs typeface="Segoe UI" panose="020B0502040204020203" pitchFamily="34" charset="0"/>
            </a:rPr>
            <a:t>Weather Conditions</a:t>
          </a:r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: Clear weather was the most frequently observed condition, creating the most favorable environment for bike-sharing activity.</a:t>
          </a:r>
        </a:p>
        <a:p>
          <a:pPr marL="0" indent="0" algn="l"/>
          <a:endParaRPr lang="en-US" sz="1400" b="0" i="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• </a:t>
          </a:r>
          <a:r>
            <a:rPr lang="en-US" sz="1400" b="1" i="0" u="sng">
              <a:latin typeface="Segoe UI" panose="020B0502040204020203" pitchFamily="34" charset="0"/>
              <a:cs typeface="Segoe UI" panose="020B0502040204020203" pitchFamily="34" charset="0"/>
            </a:rPr>
            <a:t>Temperature Impact</a:t>
          </a:r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: Rental demand was highest during moderate temperature conditions, while very low and high temperatures resulted in lower average rentals.</a:t>
          </a:r>
        </a:p>
        <a:p>
          <a:pPr marL="0" indent="0" algn="l"/>
          <a:endParaRPr lang="en-US" sz="1400" b="0" i="0"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• </a:t>
          </a:r>
          <a:r>
            <a:rPr lang="en-US" sz="1400" b="1" i="0" u="sng">
              <a:latin typeface="Segoe UI" panose="020B0502040204020203" pitchFamily="34" charset="0"/>
              <a:cs typeface="Segoe UI" panose="020B0502040204020203" pitchFamily="34" charset="0"/>
            </a:rPr>
            <a:t>Humidity Trend</a:t>
          </a:r>
          <a:r>
            <a:rPr lang="en-US" sz="1400" b="0" i="0">
              <a:latin typeface="Segoe UI" panose="020B0502040204020203" pitchFamily="34" charset="0"/>
              <a:cs typeface="Segoe UI" panose="020B0502040204020203" pitchFamily="34" charset="0"/>
            </a:rPr>
            <a:t>: Average bike rentals declined as humidity increased, suggesting that riders preferred drier weather conditions.</a:t>
          </a:r>
        </a:p>
      </xdr:txBody>
    </xdr:sp>
    <xdr:clientData/>
  </xdr:twoCellAnchor>
  <xdr:twoCellAnchor>
    <xdr:from>
      <xdr:col>0</xdr:col>
      <xdr:colOff>-9525</xdr:colOff>
      <xdr:row>71</xdr:row>
      <xdr:rowOff>114300</xdr:rowOff>
    </xdr:from>
    <xdr:to>
      <xdr:col>7</xdr:col>
      <xdr:colOff>542925</xdr:colOff>
      <xdr:row>81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8DDC6-A0E7-46B2-A3DF-C6E1045B9EBB}"/>
            </a:ext>
            <a:ext uri="{147F2762-F138-4A5C-976F-8EAC2B608ADB}">
              <a16:predDERef xmlns:a16="http://schemas.microsoft.com/office/drawing/2014/main" pred="{E60A6F6D-294F-2F4C-9139-58F0BBF0220B}"/>
            </a:ext>
          </a:extLst>
        </xdr:cNvPr>
        <xdr:cNvSpPr txBox="1"/>
      </xdr:nvSpPr>
      <xdr:spPr>
        <a:xfrm>
          <a:off x="-9525" y="13098780"/>
          <a:ext cx="4819650" cy="17526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Increase bike availability during clear weather and moderate temperatures to meet higher customer demand.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Develop promotional campaigns to encourage casual riders to become registered members, improving long-term customer retention.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Schedule bike maintenance and fleet inspections during periods of high humidity or adverse weather when rental demand is lower.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Incorporate weather forecasts into operational planning to optimize bike allocation and improve service efficiency.</a:t>
          </a:r>
        </a:p>
      </xdr:txBody>
    </xdr:sp>
    <xdr:clientData/>
  </xdr:twoCellAnchor>
  <xdr:twoCellAnchor>
    <xdr:from>
      <xdr:col>0</xdr:col>
      <xdr:colOff>9525</xdr:colOff>
      <xdr:row>82</xdr:row>
      <xdr:rowOff>142875</xdr:rowOff>
    </xdr:from>
    <xdr:to>
      <xdr:col>7</xdr:col>
      <xdr:colOff>438150</xdr:colOff>
      <xdr:row>85</xdr:row>
      <xdr:rowOff>180975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E2AA84F-4A20-46AA-BA88-F39C7CCAEDC9}"/>
            </a:ext>
            <a:ext uri="{147F2762-F138-4A5C-976F-8EAC2B608ADB}">
              <a16:predDERef xmlns:a16="http://schemas.microsoft.com/office/drawing/2014/main" pred="{8B493361-C410-B5BE-F42D-1E21A5094A62}"/>
            </a:ext>
          </a:extLst>
        </xdr:cNvPr>
        <xdr:cNvSpPr txBox="1"/>
      </xdr:nvSpPr>
      <xdr:spPr>
        <a:xfrm>
          <a:off x="9525" y="15139035"/>
          <a:ext cx="4695825" cy="586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Dashboard Summary:</a:t>
          </a:r>
        </a:p>
        <a:p>
          <a:pPr marL="0" indent="0" algn="l"/>
          <a:r>
            <a:rPr lang="en-US" sz="9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rPr>
            <a:t>This dashboard provides a consolidated overview of environmental conditions and customer behavior by combining Dataset 1 and Dataset 2, enabling quick business insights for operational decision-making.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BC852DAD3BE5BD/Documents/DatasetA.xlsx" TargetMode="External"/><Relationship Id="rId1" Type="http://schemas.openxmlformats.org/officeDocument/2006/relationships/externalLinkPath" Target="Datase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set2_Detailed_Analysis" TargetMode="External"/><Relationship Id="rId1" Type="http://schemas.openxmlformats.org/officeDocument/2006/relationships/externalLinkPath" Target="/f9bc852dad3be5bd/Dataset2_Detailed_Analysi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set_A.xlsx" TargetMode="External"/><Relationship Id="rId2" Type="http://schemas.openxmlformats.org/officeDocument/2006/relationships/externalLinkPath" Target="https://d.docs.live.net/f9bc852dad3be5bd/Dataset_A.xlsx" TargetMode="External"/><Relationship Id="rId1" Type="http://schemas.openxmlformats.org/officeDocument/2006/relationships/externalLinkPath" Target="/f9bc852dad3be5bd/Dataset_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 A"/>
      <sheetName val="DatasetA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set2_Detailed_Analysi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set2"/>
    </sheetNames>
    <sheetDataSet>
      <sheetData sheetId="0">
        <row r="7">
          <cell r="L7" t="str">
            <v>Count</v>
          </cell>
        </row>
        <row r="8">
          <cell r="K8" t="str">
            <v>Clear</v>
          </cell>
          <cell r="L8">
            <v>368</v>
          </cell>
        </row>
        <row r="9">
          <cell r="K9" t="str">
            <v>Mist / Cloudy</v>
          </cell>
          <cell r="L9">
            <v>194</v>
          </cell>
        </row>
        <row r="10">
          <cell r="K10" t="str">
            <v>Light Snow / Light Rain</v>
          </cell>
          <cell r="L10">
            <v>47</v>
          </cell>
        </row>
        <row r="11">
          <cell r="K11" t="str">
            <v>Heavy Rain / Heavy Snow</v>
          </cell>
          <cell r="L11">
            <v>1</v>
          </cell>
        </row>
        <row r="14">
          <cell r="L14" t="str">
            <v>Count</v>
          </cell>
        </row>
        <row r="15">
          <cell r="K15" t="str">
            <v>Registered</v>
          </cell>
          <cell r="L15">
            <v>31152</v>
          </cell>
        </row>
        <row r="16">
          <cell r="K16" t="str">
            <v>Casual</v>
          </cell>
          <cell r="L16">
            <v>2746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C4A52-B318-4EB4-B3E4-DE0C889562E5}" name="Table24" displayName="Table24" ref="A57:B62" totalsRowShown="0" headerRowDxfId="6" dataDxfId="5" headerRowBorderDxfId="3" tableBorderDxfId="4" totalsRowBorderDxfId="2">
  <autoFilter ref="A57:B62" xr:uid="{775987F9-F8A0-454B-845C-907E27D72659}"/>
  <tableColumns count="2">
    <tableColumn id="1" xr3:uid="{511914A5-07A6-4EEC-AB46-BA1CDC167FE7}" name="Attributes" dataDxfId="1"/>
    <tableColumn id="2" xr3:uid="{58DD4F34-6EC8-4DDD-9815-3B21D1B540BC}" name="Valu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6FB9-F1A9-4DE2-8807-2AB82BD7160E}">
  <dimension ref="A1:AA73"/>
  <sheetViews>
    <sheetView showGridLines="0" tabSelected="1" topLeftCell="A67" workbookViewId="0">
      <selection activeCell="J73" sqref="J73"/>
    </sheetView>
  </sheetViews>
  <sheetFormatPr defaultRowHeight="14.45"/>
  <cols>
    <col min="1" max="1" width="21" customWidth="1"/>
    <col min="2" max="2" width="26.7109375" customWidth="1"/>
    <col min="4" max="4" width="5.85546875" customWidth="1"/>
    <col min="10" max="10" width="20.5703125" customWidth="1"/>
    <col min="11" max="11" width="25.28515625" customWidth="1"/>
    <col min="12" max="12" width="11.42578125" bestFit="1" customWidth="1"/>
    <col min="14" max="14" width="13.85546875" customWidth="1"/>
  </cols>
  <sheetData>
    <row r="1" spans="1:27" ht="15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  <c r="AA1" s="16">
        <f>SUM([1]!Table1[cnt])</f>
        <v>33898</v>
      </c>
    </row>
    <row r="2" spans="1:27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50"/>
    </row>
    <row r="3" spans="1:27" ht="15" thickBot="1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3"/>
    </row>
    <row r="4" spans="1:27">
      <c r="A4" s="54" t="s">
        <v>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6"/>
    </row>
    <row r="5" spans="1:27">
      <c r="A5" s="57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6"/>
    </row>
    <row r="6" spans="1:27" ht="15" thickBot="1">
      <c r="A6" s="58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60"/>
    </row>
    <row r="8" spans="1:27">
      <c r="A8" s="61" t="s">
        <v>2</v>
      </c>
      <c r="B8" s="62"/>
      <c r="C8" s="62"/>
      <c r="D8" s="63"/>
      <c r="F8" s="17" t="s">
        <v>3</v>
      </c>
      <c r="G8" s="18"/>
      <c r="H8" s="18"/>
      <c r="I8" s="19"/>
      <c r="K8" s="73" t="s">
        <v>4</v>
      </c>
      <c r="L8" s="74"/>
      <c r="M8" s="74"/>
      <c r="N8" s="75"/>
      <c r="P8" s="17" t="s">
        <v>5</v>
      </c>
      <c r="Q8" s="18"/>
      <c r="R8" s="18"/>
      <c r="S8" s="19"/>
    </row>
    <row r="9" spans="1:27" ht="15" thickBot="1">
      <c r="A9" s="64"/>
      <c r="B9" s="65"/>
      <c r="C9" s="65"/>
      <c r="D9" s="66"/>
      <c r="F9" s="20"/>
      <c r="G9" s="21"/>
      <c r="H9" s="21"/>
      <c r="I9" s="22"/>
      <c r="K9" s="76"/>
      <c r="L9" s="77"/>
      <c r="M9" s="77"/>
      <c r="N9" s="78"/>
      <c r="P9" s="20"/>
      <c r="Q9" s="21"/>
      <c r="R9" s="21"/>
      <c r="S9" s="22"/>
    </row>
    <row r="10" spans="1:27">
      <c r="A10" s="67">
        <f>SUM([1]!Table1[cnt])</f>
        <v>33898</v>
      </c>
      <c r="B10" s="68"/>
      <c r="C10" s="68"/>
      <c r="D10" s="69"/>
      <c r="F10" s="67">
        <f>SUM([1]!Table1[registered])</f>
        <v>31152</v>
      </c>
      <c r="G10" s="68"/>
      <c r="H10" s="68"/>
      <c r="I10" s="69"/>
      <c r="K10" s="67">
        <f>SUM([1]!Table1[casual])</f>
        <v>2746</v>
      </c>
      <c r="L10" s="68"/>
      <c r="M10" s="68"/>
      <c r="N10" s="69"/>
      <c r="P10" s="23">
        <f>AVERAGE([1]!Table1[temp])</f>
        <v>0.19688524590163942</v>
      </c>
      <c r="Q10" s="24"/>
      <c r="R10" s="24"/>
      <c r="S10" s="25"/>
    </row>
    <row r="11" spans="1:27" ht="15" thickBot="1">
      <c r="A11" s="70"/>
      <c r="B11" s="71"/>
      <c r="C11" s="71"/>
      <c r="D11" s="72"/>
      <c r="F11" s="70"/>
      <c r="G11" s="71"/>
      <c r="H11" s="71"/>
      <c r="I11" s="72"/>
      <c r="K11" s="70"/>
      <c r="L11" s="71"/>
      <c r="M11" s="71"/>
      <c r="N11" s="72"/>
      <c r="P11" s="26"/>
      <c r="Q11" s="27"/>
      <c r="R11" s="27"/>
      <c r="S11" s="28"/>
    </row>
    <row r="14" spans="1:27" ht="15" customHeight="1">
      <c r="J14" s="14"/>
      <c r="K14" s="13"/>
    </row>
    <row r="15" spans="1:27">
      <c r="J15" s="13"/>
      <c r="K15" s="13"/>
    </row>
    <row r="17" spans="7:11" ht="18.600000000000001" thickBot="1">
      <c r="J17" s="9"/>
      <c r="K17" s="9"/>
    </row>
    <row r="18" spans="7:11" ht="27.75" customHeight="1" thickTop="1" thickBot="1">
      <c r="G18" s="12"/>
      <c r="J18" s="11"/>
      <c r="K18" s="11"/>
    </row>
    <row r="19" spans="7:11" ht="27.75" customHeight="1" thickTop="1">
      <c r="J19" s="11"/>
      <c r="K19" s="10"/>
    </row>
    <row r="20" spans="7:11" ht="26.25" customHeight="1">
      <c r="J20" s="9"/>
      <c r="K20" s="8"/>
    </row>
    <row r="21" spans="7:11" ht="26.25" customHeight="1">
      <c r="J21" s="9"/>
      <c r="K21" s="9"/>
    </row>
    <row r="22" spans="7:11" ht="25.5" customHeight="1">
      <c r="J22" s="9"/>
      <c r="K22" s="9"/>
    </row>
    <row r="23" spans="7:11" ht="27" customHeight="1">
      <c r="J23" s="9"/>
      <c r="K23" s="8"/>
    </row>
    <row r="54" spans="1:19">
      <c r="A54" s="41" t="s">
        <v>6</v>
      </c>
      <c r="B54" s="42"/>
      <c r="E54" s="29" t="s">
        <v>7</v>
      </c>
      <c r="F54" s="30"/>
      <c r="G54" s="30"/>
      <c r="H54" s="30"/>
      <c r="I54" s="30"/>
      <c r="J54" s="30"/>
      <c r="K54" s="30"/>
      <c r="L54" s="30"/>
      <c r="M54" s="30"/>
      <c r="N54" s="31"/>
      <c r="O54" s="15"/>
      <c r="P54" s="15"/>
    </row>
    <row r="55" spans="1:19" ht="15" thickBot="1">
      <c r="A55" s="43"/>
      <c r="B55" s="44"/>
      <c r="E55" s="32"/>
      <c r="F55" s="33"/>
      <c r="G55" s="33"/>
      <c r="H55" s="33"/>
      <c r="I55" s="33"/>
      <c r="J55" s="33"/>
      <c r="K55" s="33"/>
      <c r="L55" s="33"/>
      <c r="M55" s="33"/>
      <c r="N55" s="34"/>
      <c r="O55" s="15"/>
      <c r="P55" s="15"/>
    </row>
    <row r="57" spans="1:19" ht="30" customHeight="1" thickBot="1">
      <c r="A57" s="7" t="s">
        <v>8</v>
      </c>
      <c r="B57" s="6" t="s">
        <v>9</v>
      </c>
    </row>
    <row r="58" spans="1:19" ht="29.25" customHeight="1" thickTop="1" thickBot="1">
      <c r="A58" s="4" t="s">
        <v>10</v>
      </c>
      <c r="B58" s="3" t="s">
        <v>11</v>
      </c>
      <c r="S58" s="15"/>
    </row>
    <row r="59" spans="1:19" ht="24" customHeight="1" thickTop="1" thickBot="1">
      <c r="A59" s="4" t="s">
        <v>12</v>
      </c>
      <c r="B59" s="5">
        <v>610</v>
      </c>
    </row>
    <row r="60" spans="1:19" ht="24.75" customHeight="1" thickTop="1" thickBot="1">
      <c r="A60" s="4" t="s">
        <v>13</v>
      </c>
      <c r="B60" s="5">
        <v>16</v>
      </c>
    </row>
    <row r="61" spans="1:19" ht="24.75" customHeight="1" thickTop="1" thickBot="1">
      <c r="A61" s="4" t="s">
        <v>14</v>
      </c>
      <c r="B61" s="3" t="s">
        <v>15</v>
      </c>
    </row>
    <row r="62" spans="1:19" ht="27" customHeight="1" thickTop="1">
      <c r="A62" s="2" t="s">
        <v>16</v>
      </c>
      <c r="B62" s="1">
        <v>4</v>
      </c>
    </row>
    <row r="69" spans="1:11">
      <c r="A69" s="35" t="s">
        <v>17</v>
      </c>
      <c r="B69" s="36"/>
      <c r="C69" s="36"/>
      <c r="D69" s="36"/>
      <c r="E69" s="36"/>
      <c r="F69" s="36"/>
      <c r="G69" s="36"/>
      <c r="H69" s="37"/>
    </row>
    <row r="70" spans="1:11" ht="15" thickBot="1">
      <c r="A70" s="38"/>
      <c r="B70" s="39"/>
      <c r="C70" s="39"/>
      <c r="D70" s="39"/>
      <c r="E70" s="39"/>
      <c r="F70" s="39"/>
      <c r="G70" s="39"/>
      <c r="H70" s="40"/>
    </row>
    <row r="73" spans="1:11">
      <c r="K73" s="15"/>
    </row>
  </sheetData>
  <mergeCells count="13">
    <mergeCell ref="A1:U3"/>
    <mergeCell ref="A4:U6"/>
    <mergeCell ref="A8:D9"/>
    <mergeCell ref="A10:D11"/>
    <mergeCell ref="F8:I9"/>
    <mergeCell ref="F10:I11"/>
    <mergeCell ref="K8:N9"/>
    <mergeCell ref="K10:N11"/>
    <mergeCell ref="P8:S9"/>
    <mergeCell ref="P10:S11"/>
    <mergeCell ref="E54:N55"/>
    <mergeCell ref="A69:H70"/>
    <mergeCell ref="A54:B5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2026-07-26T15:11:35Z</dcterms:created>
  <dcterms:modified xsi:type="dcterms:W3CDTF">2026-07-26T15:12:57Z</dcterms:modified>
  <cp:category/>
  <cp:contentStatus/>
</cp:coreProperties>
</file>