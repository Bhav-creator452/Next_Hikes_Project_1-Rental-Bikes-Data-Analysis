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d.docs.live.net/F9BC852DAD3BE5BD/Documents/"/>
    </mc:Choice>
  </mc:AlternateContent>
  <xr:revisionPtr revIDLastSave="0" documentId="8_{B038FEA9-07E5-4413-A91B-7FA50DB6F6DE}" xr6:coauthVersionLast="47" xr6:coauthVersionMax="47" xr10:uidLastSave="{00000000-0000-0000-0000-000000000000}"/>
  <bookViews>
    <workbookView xWindow="-108" yWindow="-108" windowWidth="23256" windowHeight="12456" xr2:uid="{971C3D25-70AF-4A36-BDB1-F5449EE34BB4}"/>
  </bookViews>
  <sheets>
    <sheet name="FInal Dashboard" sheetId="1" r:id="rId1"/>
  </sheets>
  <externalReferences>
    <externalReference r:id="rId2"/>
  </externalReferences>
  <calcPr calcId="191028"/>
  <pivotCaches>
    <pivotCache cacheId="50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F11" i="1"/>
  <c r="K11" i="1"/>
  <c r="P11" i="1"/>
  <c r="P17" i="1"/>
</calcChain>
</file>

<file path=xl/sharedStrings.xml><?xml version="1.0" encoding="utf-8"?>
<sst xmlns="http://schemas.openxmlformats.org/spreadsheetml/2006/main" count="26" uniqueCount="24">
  <si>
    <r>
      <rPr>
        <sz val="28"/>
        <color rgb="FF51154A"/>
        <rFont val="Arial Black"/>
      </rPr>
      <t xml:space="preserve"> BIKE SHARING EXECUTIVE DASHBOARD</t>
    </r>
    <r>
      <rPr>
        <sz val="28"/>
        <color rgb="FF7E350E"/>
        <rFont val="Arial Black"/>
      </rPr>
      <t xml:space="preserve"> </t>
    </r>
  </si>
  <si>
    <r>
      <rPr>
        <sz val="11"/>
        <color rgb="FF000000"/>
        <rFont val="Aptos Narrow"/>
        <scheme val="minor"/>
      </rPr>
      <t xml:space="preserve"> </t>
    </r>
    <r>
      <rPr>
        <sz val="24"/>
        <color rgb="FFF2CEEF"/>
        <rFont val="Arial Black"/>
      </rPr>
      <t xml:space="preserve">Complete Business Performance Overview </t>
    </r>
  </si>
  <si>
    <t>🚲 Total Rentals</t>
  </si>
  <si>
    <t>👤 Registered Users</t>
  </si>
  <si>
    <t>😊 Casual Users</t>
  </si>
  <si>
    <t>📊 Average Rentals</t>
  </si>
  <si>
    <t>⏰ Peak Hour</t>
  </si>
  <si>
    <t>📅 Best Weekday</t>
  </si>
  <si>
    <t>🌤 Dominant Weather</t>
  </si>
  <si>
    <t>📈 Registered Share</t>
  </si>
  <si>
    <t>Friday</t>
  </si>
  <si>
    <t>Clear</t>
  </si>
  <si>
    <t>Average of cnt</t>
  </si>
  <si>
    <t>weekdayname</t>
  </si>
  <si>
    <t>hr</t>
  </si>
  <si>
    <t>Sunday</t>
  </si>
  <si>
    <t>Monday</t>
  </si>
  <si>
    <t>Tuesday</t>
  </si>
  <si>
    <t>Wednesday</t>
  </si>
  <si>
    <t>Thursday</t>
  </si>
  <si>
    <t>Saturday</t>
  </si>
  <si>
    <t>Grand Total</t>
  </si>
  <si>
    <t>Executive Summary</t>
  </si>
  <si>
    <t>Strategic 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</si>
</sst>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809]dd\ mmmm\ yyyy;@"/>
    <numFmt numFmtId="165" formatCode="0.0000"/>
  </numFmts>
  <fonts count="12">
    <font>
      <sz val="11"/>
      <color theme="1"/>
      <name val="Aptos Narrow"/>
      <family val="2"/>
      <scheme val="minor"/>
    </font>
    <font>
      <sz val="20"/>
      <color rgb="FFF2CEEF"/>
      <name val="Arial Black"/>
    </font>
    <font>
      <sz val="26"/>
      <color theme="8" tint="0.79998168889431442"/>
      <name val="Arial Black"/>
    </font>
    <font>
      <sz val="20"/>
      <color theme="1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  <font>
      <sz val="12"/>
      <color rgb="FF51154A"/>
      <name val="Arial Black"/>
    </font>
    <font>
      <sz val="12"/>
      <color theme="8" tint="-0.499984740745262"/>
      <name val="Arial Black"/>
    </font>
    <font>
      <sz val="11"/>
      <color rgb="FF000000"/>
      <name val="Aptos Narrow"/>
      <scheme val="minor"/>
    </font>
    <font>
      <sz val="24"/>
      <color rgb="FFF2CEEF"/>
      <name val="Arial Black"/>
    </font>
    <font>
      <sz val="28"/>
      <color theme="1"/>
      <name val="Arial Black"/>
    </font>
    <font>
      <sz val="28"/>
      <color rgb="FF51154A"/>
      <name val="Arial Black"/>
    </font>
    <font>
      <sz val="28"/>
      <color rgb="FF7E350E"/>
      <name val="Arial Black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1" fontId="0" fillId="0" borderId="7" xfId="0" applyNumberFormat="1" applyBorder="1"/>
    <xf numFmtId="0" fontId="0" fillId="0" borderId="7" xfId="0" applyBorder="1"/>
    <xf numFmtId="0" fontId="0" fillId="0" borderId="7" xfId="0" pivotButton="1" applyBorder="1"/>
    <xf numFmtId="0" fontId="1" fillId="2" borderId="6" xfId="0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6" fillId="3" borderId="6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8" xfId="0" applyFill="1" applyBorder="1" applyAlignment="1">
      <alignment horizontal="center"/>
    </xf>
    <xf numFmtId="18" fontId="1" fillId="2" borderId="6" xfId="0" applyNumberFormat="1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0" fontId="2" fillId="2" borderId="6" xfId="0" applyNumberFormat="1" applyFont="1" applyFill="1" applyBorder="1" applyAlignment="1">
      <alignment horizontal="center"/>
    </xf>
    <xf numFmtId="10" fontId="2" fillId="2" borderId="5" xfId="0" applyNumberFormat="1" applyFont="1" applyFill="1" applyBorder="1" applyAlignment="1">
      <alignment horizontal="center"/>
    </xf>
    <xf numFmtId="10" fontId="2" fillId="2" borderId="4" xfId="0" applyNumberFormat="1" applyFont="1" applyFill="1" applyBorder="1" applyAlignment="1">
      <alignment horizontal="center"/>
    </xf>
    <xf numFmtId="10" fontId="2" fillId="2" borderId="3" xfId="0" applyNumberFormat="1" applyFont="1" applyFill="1" applyBorder="1" applyAlignment="1">
      <alignment horizontal="center"/>
    </xf>
    <xf numFmtId="10" fontId="2" fillId="2" borderId="2" xfId="0" applyNumberFormat="1" applyFont="1" applyFill="1" applyBorder="1" applyAlignment="1">
      <alignment horizontal="center"/>
    </xf>
    <xf numFmtId="10" fontId="2" fillId="2" borderId="1" xfId="0" applyNumberFormat="1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" fontId="2" fillId="2" borderId="6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1">
    <cellStyle name="Normal" xfId="0" builtinId="0"/>
  </cellStyles>
  <dxfs count="10"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Hourly Rental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E49ED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1154A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E49ED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1154A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rgbClr val="E49ED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1154A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E49ED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1154A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E49ED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1154A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D86DC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1154A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D86DCD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51154A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2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</c:strLit>
          </c:cat>
          <c:val>
            <c:numLit>
              <c:formatCode>General</c:formatCode>
              <c:ptCount val="24"/>
              <c:pt idx="0">
                <c:v>16.348837209302324</c:v>
              </c:pt>
              <c:pt idx="1">
                <c:v>10.697674418604651</c:v>
              </c:pt>
              <c:pt idx="2">
                <c:v>7.1707317073170733</c:v>
              </c:pt>
              <c:pt idx="3">
                <c:v>4.870967741935484</c:v>
              </c:pt>
              <c:pt idx="4">
                <c:v>2.15625</c:v>
              </c:pt>
              <c:pt idx="5">
                <c:v>4.2051282051282053</c:v>
              </c:pt>
              <c:pt idx="6">
                <c:v>19.571428571428573</c:v>
              </c:pt>
              <c:pt idx="7">
                <c:v>54.395348837209305</c:v>
              </c:pt>
              <c:pt idx="8">
                <c:v>128.28571428571428</c:v>
              </c:pt>
              <c:pt idx="9">
                <c:v>87.428571428571431</c:v>
              </c:pt>
              <c:pt idx="10">
                <c:v>53.642857142857146</c:v>
              </c:pt>
              <c:pt idx="11">
                <c:v>59.38095238095238</c:v>
              </c:pt>
              <c:pt idx="12">
                <c:v>76.348837209302332</c:v>
              </c:pt>
              <c:pt idx="13">
                <c:v>78.511627906976742</c:v>
              </c:pt>
              <c:pt idx="14">
                <c:v>74.418604651162795</c:v>
              </c:pt>
              <c:pt idx="15">
                <c:v>77.95348837209302</c:v>
              </c:pt>
              <c:pt idx="16">
                <c:v>89.272727272727266</c:v>
              </c:pt>
              <c:pt idx="17">
                <c:v>140.20454545454547</c:v>
              </c:pt>
              <c:pt idx="18">
                <c:v>122.86046511627907</c:v>
              </c:pt>
              <c:pt idx="19">
                <c:v>85.139534883720927</c:v>
              </c:pt>
              <c:pt idx="20">
                <c:v>61.767441860465119</c:v>
              </c:pt>
              <c:pt idx="21">
                <c:v>46.418604651162788</c:v>
              </c:pt>
              <c:pt idx="22">
                <c:v>35.069767441860463</c:v>
              </c:pt>
              <c:pt idx="23">
                <c:v>25.186046511627907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449-4DFB-BD09-81579F959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8436359"/>
        <c:axId val="448861191"/>
      </c:lineChart>
      <c:catAx>
        <c:axId val="438436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Hour of the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861191"/>
        <c:crosses val="autoZero"/>
        <c:auto val="1"/>
        <c:lblAlgn val="ctr"/>
        <c:lblOffset val="100"/>
        <c:noMultiLvlLbl val="0"/>
      </c:catAx>
      <c:valAx>
        <c:axId val="448861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Average Rentals</a:t>
                </a:r>
              </a:p>
            </c:rich>
          </c:tx>
          <c:layout>
            <c:manualLayout>
              <c:xMode val="edge"/>
              <c:yMode val="edge"/>
              <c:x val="2.6107234643611581E-2"/>
              <c:y val="0.303124438874663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438436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Average Rentals by Weekday</a:t>
            </a:r>
          </a:p>
        </c:rich>
      </c:tx>
      <c:layout>
        <c:manualLayout>
          <c:xMode val="edge"/>
          <c:yMode val="edge"/>
          <c:x val="0.4165805752807194"/>
          <c:y val="4.30977724320295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1154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51154A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Thursday</c:v>
              </c:pt>
              <c:pt idx="1">
                <c:v>Tuesday</c:v>
              </c:pt>
              <c:pt idx="2">
                <c:v>Friday</c:v>
              </c:pt>
              <c:pt idx="3">
                <c:v>Wednesday</c:v>
              </c:pt>
              <c:pt idx="4">
                <c:v>Monday</c:v>
              </c:pt>
              <c:pt idx="5">
                <c:v>Sunday</c:v>
              </c:pt>
              <c:pt idx="6">
                <c:v>Saturday</c:v>
              </c:pt>
            </c:strLit>
          </c:cat>
          <c:val>
            <c:numLit>
              <c:formatCode>General</c:formatCode>
              <c:ptCount val="7"/>
              <c:pt idx="0">
                <c:v>67.664000000000001</c:v>
              </c:pt>
              <c:pt idx="1">
                <c:v>66.00787401574803</c:v>
              </c:pt>
              <c:pt idx="2">
                <c:v>65.905797101449281</c:v>
              </c:pt>
              <c:pt idx="3">
                <c:v>61.44274809160305</c:v>
              </c:pt>
              <c:pt idx="4">
                <c:v>56.711409395973156</c:v>
              </c:pt>
              <c:pt idx="5">
                <c:v>49.518292682926827</c:v>
              </c:pt>
              <c:pt idx="6">
                <c:v>46.674698795180724</c:v>
              </c:pt>
            </c:numLit>
          </c:val>
          <c:extLst>
            <c:ext xmlns:c16="http://schemas.microsoft.com/office/drawing/2014/chart" uri="{C3380CC4-5D6E-409C-BE32-E72D297353CC}">
              <c16:uniqueId val="{00000000-439A-41C3-86F3-562EF5C2C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310407"/>
        <c:axId val="183951879"/>
      </c:barChart>
      <c:catAx>
        <c:axId val="78310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51879"/>
        <c:crosses val="autoZero"/>
        <c:auto val="1"/>
        <c:lblAlgn val="ctr"/>
        <c:lblOffset val="100"/>
        <c:noMultiLvlLbl val="0"/>
      </c:catAx>
      <c:valAx>
        <c:axId val="183951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Average Rentals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10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180975</xdr:rowOff>
    </xdr:from>
    <xdr:to>
      <xdr:col>11</xdr:col>
      <xdr:colOff>9525</xdr:colOff>
      <xdr:row>46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410A1B-6F8E-4316-BE4A-C3774E3C5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50</xdr:row>
      <xdr:rowOff>76200</xdr:rowOff>
    </xdr:from>
    <xdr:to>
      <xdr:col>21</xdr:col>
      <xdr:colOff>409575</xdr:colOff>
      <xdr:row>70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73D75D-EC13-412E-ADF1-8D4DECD391A1}"/>
            </a:ext>
            <a:ext uri="{147F2762-F138-4A5C-976F-8EAC2B608ADB}">
              <a16:predDERef xmlns:a16="http://schemas.microsoft.com/office/drawing/2014/main" pred="{8E5FECBA-9D49-4C30-806C-2D8F0DC45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76</xdr:row>
      <xdr:rowOff>152400</xdr:rowOff>
    </xdr:from>
    <xdr:to>
      <xdr:col>10</xdr:col>
      <xdr:colOff>0</xdr:colOff>
      <xdr:row>89</xdr:row>
      <xdr:rowOff>19050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D96EA22-4E68-4773-BEF1-6A964F87B204}"/>
            </a:ext>
            <a:ext uri="{147F2762-F138-4A5C-976F-8EAC2B608ADB}">
              <a16:predDERef xmlns:a16="http://schemas.microsoft.com/office/drawing/2014/main" pred="{0B7EC414-5379-4666-9AA4-8749BEF61AB9}"/>
            </a:ext>
          </a:extLst>
        </xdr:cNvPr>
        <xdr:cNvSpPr txBox="1"/>
      </xdr:nvSpPr>
      <xdr:spPr>
        <a:xfrm>
          <a:off x="0" y="14051280"/>
          <a:ext cx="6096000" cy="224409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• Bike-sharing demand followed a strong commuting pattern, with the highest activity observed during weekday morning and evening hours.</a:t>
          </a:r>
        </a:p>
        <a:p>
          <a:pPr marL="0" indent="0" algn="l"/>
          <a:endParaRPr lang="en-US" sz="1100" b="0" i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• Friday recorded the highest average rentals, reflecting increased demand before the weekend.</a:t>
          </a:r>
        </a:p>
        <a:p>
          <a:pPr marL="0" indent="0" algn="l"/>
          <a:endParaRPr lang="en-US" sz="1100" b="0" i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• Registered users accounted for 91.56% of all rentals, indicating that the service is primarily used by regular commuters.</a:t>
          </a:r>
        </a:p>
        <a:p>
          <a:pPr marL="0" indent="0" algn="l"/>
          <a:endParaRPr lang="en-US" sz="1100" b="0" i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• Clear weather and moderate temperatures provided the most favorable conditions for bike-sharing.</a:t>
          </a:r>
        </a:p>
        <a:p>
          <a:pPr marL="0" indent="0" algn="l"/>
          <a:endParaRPr lang="en-US" sz="1100" b="0" i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• Overall rental activity was strongly influenced by both environmental and operational factors.</a:t>
          </a:r>
        </a:p>
      </xdr:txBody>
    </xdr:sp>
    <xdr:clientData/>
  </xdr:twoCellAnchor>
  <xdr:twoCellAnchor>
    <xdr:from>
      <xdr:col>12</xdr:col>
      <xdr:colOff>19050</xdr:colOff>
      <xdr:row>76</xdr:row>
      <xdr:rowOff>133350</xdr:rowOff>
    </xdr:from>
    <xdr:to>
      <xdr:col>21</xdr:col>
      <xdr:colOff>552450</xdr:colOff>
      <xdr:row>88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E318202-529E-485F-B069-191511AD9EE4}"/>
            </a:ext>
            <a:ext uri="{147F2762-F138-4A5C-976F-8EAC2B608ADB}">
              <a16:predDERef xmlns:a16="http://schemas.microsoft.com/office/drawing/2014/main" pred="{91F6029A-6F3D-1A96-1F0F-F2FD0FDAE508}"/>
            </a:ext>
          </a:extLst>
        </xdr:cNvPr>
        <xdr:cNvSpPr txBox="1"/>
      </xdr:nvSpPr>
      <xdr:spPr>
        <a:xfrm>
          <a:off x="7334250" y="14032230"/>
          <a:ext cx="6019800" cy="2232660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• Increase bike availability during morning and evening peak hours.</a:t>
          </a:r>
        </a:p>
        <a:p>
          <a:pPr marL="0" indent="0" algn="l"/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• Improve bike redistribution before weekday evening demand.</a:t>
          </a:r>
        </a:p>
        <a:p>
          <a:pPr marL="0" indent="0" algn="l"/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• Use weather forecasts for proactive fleet planning.</a:t>
          </a:r>
        </a:p>
        <a:p>
          <a:pPr marL="0" indent="0" algn="l"/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• Expand membership campaigns to convert casual users into registered riders.</a:t>
          </a:r>
        </a:p>
        <a:p>
          <a:pPr marL="0" indent="0" algn="l"/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• Schedule maintenance during overnight low-demand periods.</a:t>
          </a:r>
        </a:p>
      </xdr:txBody>
    </xdr:sp>
    <xdr:clientData/>
  </xdr:twoCellAnchor>
  <xdr:twoCellAnchor>
    <xdr:from>
      <xdr:col>0</xdr:col>
      <xdr:colOff>28575</xdr:colOff>
      <xdr:row>90</xdr:row>
      <xdr:rowOff>152400</xdr:rowOff>
    </xdr:from>
    <xdr:to>
      <xdr:col>9</xdr:col>
      <xdr:colOff>581025</xdr:colOff>
      <xdr:row>93</xdr:row>
      <xdr:rowOff>76200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A6348FF-977D-4264-851F-0D825F7C5B8A}"/>
            </a:ext>
            <a:ext uri="{147F2762-F138-4A5C-976F-8EAC2B608ADB}">
              <a16:predDERef xmlns:a16="http://schemas.microsoft.com/office/drawing/2014/main" pred="{54C59174-DCD6-6ABC-0766-AEBDE5F0DC2C}"/>
            </a:ext>
          </a:extLst>
        </xdr:cNvPr>
        <xdr:cNvSpPr txBox="1"/>
      </xdr:nvSpPr>
      <xdr:spPr>
        <a:xfrm>
          <a:off x="28575" y="16611600"/>
          <a:ext cx="6038850" cy="4724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solidFill>
                <a:schemeClr val="bg2">
                  <a:lumMod val="50000"/>
                </a:schemeClr>
              </a:solidFill>
              <a:latin typeface="+mn-lt"/>
              <a:ea typeface="+mn-lt"/>
              <a:cs typeface="+mn-lt"/>
            </a:rPr>
            <a:t>Bike Sharing Data Analysis Dashboard</a:t>
          </a:r>
        </a:p>
        <a:p>
          <a:pPr marL="0" indent="0" algn="l"/>
          <a:r>
            <a:rPr lang="en-US" sz="1100" b="1">
              <a:solidFill>
                <a:schemeClr val="bg2">
                  <a:lumMod val="50000"/>
                </a:schemeClr>
              </a:solidFill>
              <a:latin typeface="+mn-lt"/>
              <a:ea typeface="+mn-lt"/>
              <a:cs typeface="+mn-lt"/>
            </a:rPr>
            <a:t>Tools Used: Microsoft Excel | Pivot Tables | Pivot Charts | Conditional Formatting | Dashboard Design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9BC852DAD3BE5BD/Documents/Dataset%20B.xlsx" TargetMode="External"/><Relationship Id="rId1" Type="http://schemas.openxmlformats.org/officeDocument/2006/relationships/externalLinkPath" Target="Dataset%20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setB"/>
      <sheetName val="Dataset B"/>
    </sheetNames>
    <sheetDataSet>
      <sheetData sheetId="0"/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f9bc852dad3be5bd/Final%20Dashboar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9.963611574072" createdVersion="8" refreshedVersion="8" minRefreshableVersion="3" recordCount="1000" xr:uid="{AA40EDDB-132A-4ADE-92B0-48DAD624267A}">
  <cacheSource type="worksheet">
    <worksheetSource name="Table1" r:id="rId2"/>
  </cacheSource>
  <cacheFields count="17">
    <cacheField name="instant" numFmtId="49">
      <sharedItems containsSemiMixedTypes="0" containsString="0" containsNumber="1" containsInteger="1" minValue="1" maxValue="1000"/>
    </cacheField>
    <cacheField name="dteday" numFmtId="164">
      <sharedItems containsSemiMixedTypes="0" containsNonDate="0" containsDate="1" containsString="0" minDate="2011-01-01T00:00:00" maxDate="2011-02-15T00:00:00"/>
    </cacheField>
    <cacheField name="season" numFmtId="1">
      <sharedItems containsSemiMixedTypes="0" containsString="0" containsNumber="1" containsInteger="1" minValue="1" maxValue="1"/>
    </cacheField>
    <cacheField name="yr" numFmtId="1">
      <sharedItems containsSemiMixedTypes="0" containsString="0" containsNumber="1" containsInteger="1" minValue="0" maxValue="0"/>
    </cacheField>
    <cacheField name="mnth" numFmtId="1">
      <sharedItems containsSemiMixedTypes="0" containsString="0" containsNumber="1" containsInteger="1" minValue="1" maxValue="2"/>
    </cacheField>
    <cacheField name="hr" numFmtId="1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holiday" numFmtId="0">
      <sharedItems/>
    </cacheField>
    <cacheField name="weekday" numFmtId="1">
      <sharedItems containsSemiMixedTypes="0" containsString="0" containsNumber="1" containsInteger="1" minValue="0" maxValue="6"/>
    </cacheField>
    <cacheField name="weathersit" numFmtId="1">
      <sharedItems containsSemiMixedTypes="0" containsString="0" containsNumber="1" containsInteger="1" minValue="1" maxValue="4"/>
    </cacheField>
    <cacheField name="temp" numFmtId="2">
      <sharedItems containsSemiMixedTypes="0" containsString="0" containsNumber="1" minValue="0.02" maxValue="0.46"/>
    </cacheField>
    <cacheField name="atemp" numFmtId="165">
      <sharedItems containsSemiMixedTypes="0" containsString="0" containsNumber="1" minValue="0" maxValue="0.45450000000000002"/>
    </cacheField>
    <cacheField name="hum" numFmtId="2">
      <sharedItems containsSemiMixedTypes="0" containsString="0" containsNumber="1" minValue="0.21" maxValue="1"/>
    </cacheField>
    <cacheField name="windspeed" numFmtId="165">
      <sharedItems containsSemiMixedTypes="0" containsString="0" containsNumber="1" minValue="0" maxValue="0.58209999999999995"/>
    </cacheField>
    <cacheField name="casual" numFmtId="1">
      <sharedItems containsSemiMixedTypes="0" containsString="0" containsNumber="1" containsInteger="1" minValue="0" maxValue="62"/>
    </cacheField>
    <cacheField name="registered" numFmtId="1">
      <sharedItems containsSemiMixedTypes="0" containsString="0" containsNumber="1" containsInteger="1" minValue="0" maxValue="247"/>
    </cacheField>
    <cacheField name="cnt" numFmtId="1">
      <sharedItems containsSemiMixedTypes="0" containsString="0" containsNumber="1" containsInteger="1" minValue="1" maxValue="249"/>
    </cacheField>
    <cacheField name="weekdayname" numFmtId="1">
      <sharedItems count="7">
        <s v="Saturday"/>
        <s v="Sunday"/>
        <s v="Monday"/>
        <s v="Tuesday"/>
        <s v="Wednesday"/>
        <s v="Thursday"/>
        <s v="Frid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11-01-01T00:00:00"/>
    <n v="1"/>
    <n v="0"/>
    <n v="1"/>
    <x v="0"/>
    <b v="0"/>
    <n v="6"/>
    <n v="1"/>
    <n v="0.24"/>
    <n v="0.28789999999999999"/>
    <n v="0.81"/>
    <n v="0"/>
    <n v="3"/>
    <n v="13"/>
    <n v="16"/>
    <x v="0"/>
  </r>
  <r>
    <n v="2"/>
    <d v="2011-01-01T00:00:00"/>
    <n v="1"/>
    <n v="0"/>
    <n v="1"/>
    <x v="1"/>
    <b v="0"/>
    <n v="6"/>
    <n v="1"/>
    <n v="0.22"/>
    <n v="0.2727"/>
    <n v="0.8"/>
    <n v="0"/>
    <n v="8"/>
    <n v="32"/>
    <n v="40"/>
    <x v="0"/>
  </r>
  <r>
    <n v="3"/>
    <d v="2011-01-01T00:00:00"/>
    <n v="1"/>
    <n v="0"/>
    <n v="1"/>
    <x v="2"/>
    <b v="0"/>
    <n v="6"/>
    <n v="1"/>
    <n v="0.22"/>
    <n v="0.2727"/>
    <n v="0.8"/>
    <n v="0"/>
    <n v="5"/>
    <n v="27"/>
    <n v="32"/>
    <x v="0"/>
  </r>
  <r>
    <n v="4"/>
    <d v="2011-01-01T00:00:00"/>
    <n v="1"/>
    <n v="0"/>
    <n v="1"/>
    <x v="3"/>
    <b v="0"/>
    <n v="6"/>
    <n v="1"/>
    <n v="0.24"/>
    <n v="0.28789999999999999"/>
    <n v="0.75"/>
    <n v="0"/>
    <n v="3"/>
    <n v="10"/>
    <n v="13"/>
    <x v="0"/>
  </r>
  <r>
    <n v="5"/>
    <d v="2011-01-01T00:00:00"/>
    <n v="1"/>
    <n v="0"/>
    <n v="1"/>
    <x v="4"/>
    <b v="0"/>
    <n v="6"/>
    <n v="1"/>
    <n v="0.24"/>
    <n v="0.28789999999999999"/>
    <n v="0.75"/>
    <n v="0"/>
    <n v="0"/>
    <n v="1"/>
    <n v="1"/>
    <x v="0"/>
  </r>
  <r>
    <n v="6"/>
    <d v="2011-01-01T00:00:00"/>
    <n v="1"/>
    <n v="0"/>
    <n v="1"/>
    <x v="5"/>
    <b v="0"/>
    <n v="6"/>
    <n v="2"/>
    <n v="0.24"/>
    <n v="0.2576"/>
    <n v="0.75"/>
    <n v="8.9599999999999999E-2"/>
    <n v="0"/>
    <n v="1"/>
    <n v="1"/>
    <x v="0"/>
  </r>
  <r>
    <n v="7"/>
    <d v="2011-01-01T00:00:00"/>
    <n v="1"/>
    <n v="0"/>
    <n v="1"/>
    <x v="6"/>
    <b v="0"/>
    <n v="6"/>
    <n v="1"/>
    <n v="0.22"/>
    <n v="0.2727"/>
    <n v="0.8"/>
    <n v="0"/>
    <n v="2"/>
    <n v="0"/>
    <n v="2"/>
    <x v="0"/>
  </r>
  <r>
    <n v="8"/>
    <d v="2011-01-01T00:00:00"/>
    <n v="1"/>
    <n v="0"/>
    <n v="1"/>
    <x v="7"/>
    <b v="0"/>
    <n v="6"/>
    <n v="1"/>
    <n v="0.2"/>
    <n v="0.2576"/>
    <n v="0.86"/>
    <n v="0"/>
    <n v="1"/>
    <n v="2"/>
    <n v="3"/>
    <x v="0"/>
  </r>
  <r>
    <n v="9"/>
    <d v="2011-01-01T00:00:00"/>
    <n v="1"/>
    <n v="0"/>
    <n v="1"/>
    <x v="8"/>
    <b v="0"/>
    <n v="6"/>
    <n v="1"/>
    <n v="0.24"/>
    <n v="0.19900000000000001"/>
    <n v="0.75"/>
    <n v="0"/>
    <n v="1"/>
    <n v="7"/>
    <n v="8"/>
    <x v="0"/>
  </r>
  <r>
    <n v="10"/>
    <d v="2011-01-01T00:00:00"/>
    <n v="1"/>
    <n v="0"/>
    <n v="1"/>
    <x v="9"/>
    <b v="0"/>
    <n v="6"/>
    <n v="1"/>
    <n v="0.32"/>
    <n v="0.34849999999999998"/>
    <n v="0.76"/>
    <n v="0"/>
    <n v="8"/>
    <n v="6"/>
    <n v="14"/>
    <x v="0"/>
  </r>
  <r>
    <n v="11"/>
    <d v="2011-01-01T00:00:00"/>
    <n v="1"/>
    <n v="0"/>
    <n v="1"/>
    <x v="10"/>
    <b v="0"/>
    <n v="6"/>
    <n v="1"/>
    <n v="0.38"/>
    <n v="0.39389999999999997"/>
    <n v="0.76"/>
    <n v="0.25369999999999998"/>
    <n v="12"/>
    <n v="24"/>
    <n v="36"/>
    <x v="0"/>
  </r>
  <r>
    <n v="12"/>
    <d v="2011-01-01T00:00:00"/>
    <n v="1"/>
    <n v="0"/>
    <n v="1"/>
    <x v="11"/>
    <b v="0"/>
    <n v="6"/>
    <n v="1"/>
    <n v="0.36"/>
    <n v="0.33329999999999999"/>
    <n v="0.81"/>
    <n v="0.28360000000000002"/>
    <n v="26"/>
    <n v="30"/>
    <n v="56"/>
    <x v="0"/>
  </r>
  <r>
    <n v="13"/>
    <d v="2011-01-01T00:00:00"/>
    <n v="1"/>
    <n v="0"/>
    <n v="1"/>
    <x v="12"/>
    <b v="0"/>
    <n v="6"/>
    <n v="1"/>
    <n v="0.42"/>
    <n v="0.42420000000000002"/>
    <n v="0.77"/>
    <n v="0.28360000000000002"/>
    <n v="29"/>
    <n v="55"/>
    <n v="84"/>
    <x v="0"/>
  </r>
  <r>
    <n v="14"/>
    <d v="2011-01-01T00:00:00"/>
    <n v="1"/>
    <n v="0"/>
    <n v="1"/>
    <x v="13"/>
    <b v="0"/>
    <n v="6"/>
    <n v="2"/>
    <n v="0.46"/>
    <n v="0.45450000000000002"/>
    <n v="0.72"/>
    <n v="0.29849999999999999"/>
    <n v="47"/>
    <n v="47"/>
    <n v="94"/>
    <x v="0"/>
  </r>
  <r>
    <n v="15"/>
    <d v="2011-01-01T00:00:00"/>
    <n v="1"/>
    <n v="0"/>
    <n v="1"/>
    <x v="14"/>
    <b v="0"/>
    <n v="6"/>
    <n v="2"/>
    <n v="0.46"/>
    <n v="0.45450000000000002"/>
    <n v="0.72"/>
    <n v="0.28360000000000002"/>
    <n v="35"/>
    <n v="71"/>
    <n v="106"/>
    <x v="0"/>
  </r>
  <r>
    <n v="16"/>
    <d v="2011-01-01T00:00:00"/>
    <n v="1"/>
    <n v="0"/>
    <n v="1"/>
    <x v="15"/>
    <b v="0"/>
    <n v="6"/>
    <n v="2"/>
    <n v="0.44"/>
    <n v="0.43940000000000001"/>
    <n v="0.77"/>
    <n v="0.29849999999999999"/>
    <n v="40"/>
    <n v="70"/>
    <n v="110"/>
    <x v="0"/>
  </r>
  <r>
    <n v="17"/>
    <d v="2011-01-01T00:00:00"/>
    <n v="1"/>
    <n v="0"/>
    <n v="1"/>
    <x v="16"/>
    <b v="0"/>
    <n v="6"/>
    <n v="2"/>
    <n v="0.42"/>
    <n v="0.42420000000000002"/>
    <n v="0.82"/>
    <n v="0.29849999999999999"/>
    <n v="41"/>
    <n v="52"/>
    <n v="93"/>
    <x v="0"/>
  </r>
  <r>
    <n v="18"/>
    <d v="2011-01-01T00:00:00"/>
    <n v="1"/>
    <n v="0"/>
    <n v="1"/>
    <x v="17"/>
    <b v="0"/>
    <n v="6"/>
    <n v="2"/>
    <n v="0.44"/>
    <n v="0.19900000000000001"/>
    <n v="0.82"/>
    <n v="0.28360000000000002"/>
    <n v="15"/>
    <n v="52"/>
    <n v="67"/>
    <x v="0"/>
  </r>
  <r>
    <n v="19"/>
    <d v="2011-01-01T00:00:00"/>
    <n v="1"/>
    <n v="0"/>
    <n v="1"/>
    <x v="18"/>
    <b v="0"/>
    <n v="6"/>
    <n v="3"/>
    <n v="0.42"/>
    <n v="0.42420000000000002"/>
    <n v="0.88"/>
    <n v="0.25369999999999998"/>
    <n v="9"/>
    <n v="26"/>
    <n v="35"/>
    <x v="0"/>
  </r>
  <r>
    <n v="20"/>
    <d v="2011-01-01T00:00:00"/>
    <n v="1"/>
    <n v="0"/>
    <n v="1"/>
    <x v="19"/>
    <b v="0"/>
    <n v="6"/>
    <n v="3"/>
    <n v="0.42"/>
    <n v="0.42420000000000002"/>
    <n v="0.88"/>
    <n v="0.25369999999999998"/>
    <n v="6"/>
    <n v="31"/>
    <n v="37"/>
    <x v="0"/>
  </r>
  <r>
    <n v="21"/>
    <d v="2011-01-01T00:00:00"/>
    <n v="1"/>
    <n v="0"/>
    <n v="1"/>
    <x v="20"/>
    <b v="0"/>
    <n v="6"/>
    <n v="2"/>
    <n v="0.4"/>
    <n v="0.40910000000000002"/>
    <n v="0.87"/>
    <n v="0.25369999999999998"/>
    <n v="11"/>
    <n v="25"/>
    <n v="36"/>
    <x v="0"/>
  </r>
  <r>
    <n v="22"/>
    <d v="2011-01-01T00:00:00"/>
    <n v="1"/>
    <n v="0"/>
    <n v="1"/>
    <x v="21"/>
    <b v="0"/>
    <n v="6"/>
    <n v="2"/>
    <n v="0.4"/>
    <n v="0.40910000000000002"/>
    <n v="0.87"/>
    <n v="0.19400000000000001"/>
    <n v="3"/>
    <n v="31"/>
    <n v="34"/>
    <x v="0"/>
  </r>
  <r>
    <n v="23"/>
    <d v="2011-01-01T00:00:00"/>
    <n v="1"/>
    <n v="0"/>
    <n v="1"/>
    <x v="22"/>
    <b v="0"/>
    <n v="6"/>
    <n v="2"/>
    <n v="0.4"/>
    <n v="0.40910000000000002"/>
    <n v="0.94"/>
    <n v="0.22389999999999999"/>
    <n v="11"/>
    <n v="17"/>
    <n v="28"/>
    <x v="0"/>
  </r>
  <r>
    <n v="24"/>
    <d v="2011-01-01T00:00:00"/>
    <n v="1"/>
    <n v="0"/>
    <n v="1"/>
    <x v="23"/>
    <b v="0"/>
    <n v="6"/>
    <n v="2"/>
    <n v="0.46"/>
    <n v="0.19900000000000001"/>
    <n v="0.88"/>
    <n v="0.29849999999999999"/>
    <n v="15"/>
    <n v="24"/>
    <n v="39"/>
    <x v="0"/>
  </r>
  <r>
    <n v="25"/>
    <d v="2011-01-02T00:00:00"/>
    <n v="1"/>
    <n v="0"/>
    <n v="1"/>
    <x v="0"/>
    <b v="0"/>
    <n v="0"/>
    <n v="2"/>
    <n v="0.46"/>
    <n v="0.45450000000000002"/>
    <n v="0.88"/>
    <n v="0.29849999999999999"/>
    <n v="4"/>
    <n v="13"/>
    <n v="17"/>
    <x v="1"/>
  </r>
  <r>
    <n v="26"/>
    <d v="2011-01-02T00:00:00"/>
    <n v="1"/>
    <n v="0"/>
    <n v="1"/>
    <x v="1"/>
    <b v="0"/>
    <n v="0"/>
    <n v="2"/>
    <n v="0.44"/>
    <n v="0.43940000000000001"/>
    <n v="0.94"/>
    <n v="0.25369999999999998"/>
    <n v="1"/>
    <n v="16"/>
    <n v="17"/>
    <x v="1"/>
  </r>
  <r>
    <n v="27"/>
    <d v="2011-01-02T00:00:00"/>
    <n v="1"/>
    <n v="0"/>
    <n v="1"/>
    <x v="2"/>
    <b v="0"/>
    <n v="0"/>
    <n v="2"/>
    <n v="0.42"/>
    <n v="0.42420000000000002"/>
    <n v="1"/>
    <n v="0.28360000000000002"/>
    <n v="1"/>
    <n v="8"/>
    <n v="9"/>
    <x v="1"/>
  </r>
  <r>
    <n v="28"/>
    <d v="2011-01-02T00:00:00"/>
    <n v="1"/>
    <n v="0"/>
    <n v="1"/>
    <x v="3"/>
    <b v="0"/>
    <n v="0"/>
    <n v="2"/>
    <n v="0.46"/>
    <n v="0.45450000000000002"/>
    <n v="0.94"/>
    <n v="0.19400000000000001"/>
    <n v="2"/>
    <n v="4"/>
    <n v="6"/>
    <x v="1"/>
  </r>
  <r>
    <n v="29"/>
    <d v="2011-01-02T00:00:00"/>
    <n v="1"/>
    <n v="0"/>
    <n v="1"/>
    <x v="4"/>
    <b v="0"/>
    <n v="0"/>
    <n v="2"/>
    <n v="0.46"/>
    <n v="0.19900000000000001"/>
    <n v="0.94"/>
    <n v="0.19400000000000001"/>
    <n v="2"/>
    <n v="1"/>
    <n v="3"/>
    <x v="1"/>
  </r>
  <r>
    <n v="30"/>
    <d v="2011-01-02T00:00:00"/>
    <n v="1"/>
    <n v="0"/>
    <n v="1"/>
    <x v="6"/>
    <b v="0"/>
    <n v="0"/>
    <n v="3"/>
    <n v="0.42"/>
    <n v="0.42420000000000002"/>
    <n v="0.77"/>
    <n v="0.29849999999999999"/>
    <n v="0"/>
    <n v="2"/>
    <n v="2"/>
    <x v="1"/>
  </r>
  <r>
    <n v="31"/>
    <d v="2011-01-02T00:00:00"/>
    <n v="1"/>
    <n v="0"/>
    <n v="1"/>
    <x v="7"/>
    <b v="0"/>
    <n v="0"/>
    <n v="2"/>
    <n v="0.4"/>
    <n v="0.40910000000000002"/>
    <n v="0.76"/>
    <n v="0.19400000000000001"/>
    <n v="0"/>
    <n v="1"/>
    <n v="1"/>
    <x v="1"/>
  </r>
  <r>
    <n v="32"/>
    <d v="2011-01-02T00:00:00"/>
    <n v="1"/>
    <n v="0"/>
    <n v="1"/>
    <x v="8"/>
    <b v="0"/>
    <n v="0"/>
    <n v="3"/>
    <n v="0.4"/>
    <n v="0.40910000000000002"/>
    <n v="0.71"/>
    <n v="0.22389999999999999"/>
    <n v="0"/>
    <n v="8"/>
    <n v="8"/>
    <x v="1"/>
  </r>
  <r>
    <n v="33"/>
    <d v="2011-01-02T00:00:00"/>
    <n v="1"/>
    <n v="0"/>
    <n v="1"/>
    <x v="9"/>
    <b v="0"/>
    <n v="0"/>
    <n v="2"/>
    <n v="0.38"/>
    <n v="0.19900000000000001"/>
    <n v="0.76"/>
    <n v="0.22389999999999999"/>
    <n v="1"/>
    <n v="19"/>
    <n v="20"/>
    <x v="1"/>
  </r>
  <r>
    <n v="34"/>
    <d v="2011-01-02T00:00:00"/>
    <n v="1"/>
    <n v="0"/>
    <n v="1"/>
    <x v="10"/>
    <b v="0"/>
    <n v="0"/>
    <n v="2"/>
    <n v="0.36"/>
    <n v="0.34849999999999998"/>
    <n v="0.81"/>
    <n v="0.22389999999999999"/>
    <n v="7"/>
    <n v="46"/>
    <n v="53"/>
    <x v="1"/>
  </r>
  <r>
    <n v="35"/>
    <d v="2011-01-02T00:00:00"/>
    <n v="1"/>
    <n v="0"/>
    <n v="1"/>
    <x v="11"/>
    <b v="0"/>
    <n v="0"/>
    <n v="2"/>
    <n v="0.36"/>
    <n v="0.33329999999999999"/>
    <n v="0.71"/>
    <n v="0.25369999999999998"/>
    <n v="16"/>
    <n v="54"/>
    <n v="70"/>
    <x v="1"/>
  </r>
  <r>
    <n v="36"/>
    <d v="2011-01-02T00:00:00"/>
    <n v="1"/>
    <n v="0"/>
    <n v="1"/>
    <x v="12"/>
    <b v="0"/>
    <n v="0"/>
    <n v="2"/>
    <n v="0.36"/>
    <n v="0.33329999999999999"/>
    <n v="0.66"/>
    <n v="0.29849999999999999"/>
    <n v="20"/>
    <n v="73"/>
    <n v="93"/>
    <x v="1"/>
  </r>
  <r>
    <n v="37"/>
    <d v="2011-01-02T00:00:00"/>
    <n v="1"/>
    <n v="0"/>
    <n v="1"/>
    <x v="13"/>
    <b v="0"/>
    <n v="0"/>
    <n v="2"/>
    <n v="0.36"/>
    <n v="0.34849999999999998"/>
    <n v="0.66"/>
    <n v="0.1343"/>
    <n v="11"/>
    <n v="64"/>
    <n v="75"/>
    <x v="1"/>
  </r>
  <r>
    <n v="38"/>
    <d v="2011-01-02T00:00:00"/>
    <n v="1"/>
    <n v="0"/>
    <n v="1"/>
    <x v="14"/>
    <b v="0"/>
    <n v="0"/>
    <n v="3"/>
    <n v="0.36"/>
    <n v="0.19900000000000001"/>
    <n v="0.76"/>
    <n v="0.19400000000000001"/>
    <n v="4"/>
    <n v="55"/>
    <n v="59"/>
    <x v="1"/>
  </r>
  <r>
    <n v="39"/>
    <d v="2011-01-02T00:00:00"/>
    <n v="1"/>
    <n v="0"/>
    <n v="1"/>
    <x v="15"/>
    <b v="0"/>
    <n v="0"/>
    <n v="3"/>
    <n v="0.34"/>
    <n v="0.33329999999999999"/>
    <n v="0.81"/>
    <n v="0.16420000000000001"/>
    <n v="19"/>
    <n v="55"/>
    <n v="74"/>
    <x v="1"/>
  </r>
  <r>
    <n v="40"/>
    <d v="2011-01-02T00:00:00"/>
    <n v="1"/>
    <n v="0"/>
    <n v="1"/>
    <x v="16"/>
    <b v="0"/>
    <n v="0"/>
    <n v="3"/>
    <n v="0.34"/>
    <n v="0.33329999999999999"/>
    <n v="0.71"/>
    <n v="0.16420000000000001"/>
    <n v="9"/>
    <n v="67"/>
    <n v="76"/>
    <x v="1"/>
  </r>
  <r>
    <n v="41"/>
    <d v="2011-01-02T00:00:00"/>
    <n v="1"/>
    <n v="0"/>
    <n v="1"/>
    <x v="17"/>
    <b v="0"/>
    <n v="0"/>
    <n v="1"/>
    <n v="0.34"/>
    <n v="0.33329999999999999"/>
    <n v="0.56999999999999995"/>
    <n v="0.19400000000000001"/>
    <n v="7"/>
    <n v="58"/>
    <n v="65"/>
    <x v="1"/>
  </r>
  <r>
    <n v="42"/>
    <d v="2011-01-02T00:00:00"/>
    <n v="1"/>
    <n v="0"/>
    <n v="1"/>
    <x v="18"/>
    <b v="0"/>
    <n v="0"/>
    <n v="2"/>
    <n v="0.36"/>
    <n v="0.33329999999999999"/>
    <n v="0.46"/>
    <n v="0.32840000000000003"/>
    <n v="10"/>
    <n v="43"/>
    <n v="53"/>
    <x v="1"/>
  </r>
  <r>
    <n v="43"/>
    <d v="2011-01-02T00:00:00"/>
    <n v="1"/>
    <n v="0"/>
    <n v="1"/>
    <x v="19"/>
    <b v="0"/>
    <n v="0"/>
    <n v="1"/>
    <n v="0.32"/>
    <n v="0.28789999999999999"/>
    <n v="0.42"/>
    <n v="0.44779999999999998"/>
    <n v="1"/>
    <n v="29"/>
    <n v="30"/>
    <x v="1"/>
  </r>
  <r>
    <n v="44"/>
    <d v="2011-01-02T00:00:00"/>
    <n v="1"/>
    <n v="0"/>
    <n v="1"/>
    <x v="20"/>
    <b v="0"/>
    <n v="0"/>
    <n v="1"/>
    <n v="0.3"/>
    <n v="0.19900000000000001"/>
    <n v="0.39"/>
    <n v="0.35820000000000002"/>
    <n v="5"/>
    <n v="17"/>
    <n v="22"/>
    <x v="1"/>
  </r>
  <r>
    <n v="45"/>
    <d v="2011-01-02T00:00:00"/>
    <n v="1"/>
    <n v="0"/>
    <n v="1"/>
    <x v="21"/>
    <b v="0"/>
    <n v="0"/>
    <n v="1"/>
    <n v="0.26"/>
    <n v="0.2273"/>
    <n v="0.44"/>
    <n v="0.32840000000000003"/>
    <n v="11"/>
    <n v="20"/>
    <n v="31"/>
    <x v="1"/>
  </r>
  <r>
    <n v="46"/>
    <d v="2011-01-02T00:00:00"/>
    <n v="1"/>
    <n v="0"/>
    <n v="1"/>
    <x v="22"/>
    <b v="0"/>
    <n v="0"/>
    <n v="1"/>
    <n v="0.24"/>
    <n v="0.21210000000000001"/>
    <n v="0.44"/>
    <n v="0.29849999999999999"/>
    <n v="0"/>
    <n v="9"/>
    <n v="9"/>
    <x v="1"/>
  </r>
  <r>
    <n v="47"/>
    <d v="2011-01-02T00:00:00"/>
    <n v="1"/>
    <n v="0"/>
    <n v="1"/>
    <x v="23"/>
    <b v="0"/>
    <n v="0"/>
    <n v="1"/>
    <n v="0.22"/>
    <n v="0.2273"/>
    <n v="0.47"/>
    <n v="0.16420000000000001"/>
    <n v="0"/>
    <n v="8"/>
    <n v="8"/>
    <x v="1"/>
  </r>
  <r>
    <n v="48"/>
    <d v="2011-01-03T00:00:00"/>
    <n v="1"/>
    <n v="0"/>
    <n v="1"/>
    <x v="0"/>
    <b v="0"/>
    <n v="1"/>
    <n v="1"/>
    <n v="0.22"/>
    <n v="0.19700000000000001"/>
    <n v="0.44"/>
    <n v="0.35820000000000002"/>
    <n v="0"/>
    <n v="5"/>
    <n v="5"/>
    <x v="2"/>
  </r>
  <r>
    <n v="49"/>
    <d v="2011-01-03T00:00:00"/>
    <n v="1"/>
    <n v="0"/>
    <n v="1"/>
    <x v="1"/>
    <b v="0"/>
    <n v="1"/>
    <n v="1"/>
    <n v="0.2"/>
    <n v="0.19900000000000001"/>
    <n v="0.44"/>
    <n v="0.41789999999999999"/>
    <n v="0"/>
    <n v="2"/>
    <n v="2"/>
    <x v="2"/>
  </r>
  <r>
    <n v="50"/>
    <d v="2011-01-03T00:00:00"/>
    <n v="1"/>
    <n v="0"/>
    <n v="1"/>
    <x v="4"/>
    <b v="0"/>
    <n v="1"/>
    <n v="1"/>
    <n v="0.16"/>
    <n v="0.13639999999999999"/>
    <n v="0.47"/>
    <n v="0.3881"/>
    <n v="0"/>
    <n v="1"/>
    <n v="1"/>
    <x v="2"/>
  </r>
  <r>
    <n v="51"/>
    <d v="2011-01-03T00:00:00"/>
    <n v="1"/>
    <n v="0"/>
    <n v="1"/>
    <x v="5"/>
    <b v="0"/>
    <n v="1"/>
    <n v="1"/>
    <n v="0.16"/>
    <n v="0.13639999999999999"/>
    <n v="0.47"/>
    <n v="0.28360000000000002"/>
    <n v="0"/>
    <n v="3"/>
    <n v="3"/>
    <x v="2"/>
  </r>
  <r>
    <n v="52"/>
    <d v="2011-01-03T00:00:00"/>
    <n v="1"/>
    <n v="0"/>
    <n v="1"/>
    <x v="6"/>
    <b v="0"/>
    <n v="1"/>
    <n v="1"/>
    <n v="0.14000000000000001"/>
    <n v="0.1061"/>
    <n v="0.5"/>
    <n v="0.3881"/>
    <n v="0"/>
    <n v="30"/>
    <n v="30"/>
    <x v="2"/>
  </r>
  <r>
    <n v="53"/>
    <d v="2011-01-03T00:00:00"/>
    <n v="1"/>
    <n v="0"/>
    <n v="1"/>
    <x v="7"/>
    <b v="0"/>
    <n v="1"/>
    <n v="1"/>
    <n v="0.14000000000000001"/>
    <n v="0.13639999999999999"/>
    <n v="0.5"/>
    <n v="0.19400000000000001"/>
    <n v="1"/>
    <n v="63"/>
    <n v="64"/>
    <x v="2"/>
  </r>
  <r>
    <n v="54"/>
    <d v="2011-01-03T00:00:00"/>
    <n v="1"/>
    <n v="0"/>
    <n v="1"/>
    <x v="8"/>
    <b v="0"/>
    <n v="1"/>
    <n v="1"/>
    <n v="0.14000000000000001"/>
    <n v="0.1212"/>
    <n v="0.5"/>
    <n v="0.28360000000000002"/>
    <n v="1"/>
    <n v="153"/>
    <n v="154"/>
    <x v="2"/>
  </r>
  <r>
    <n v="55"/>
    <d v="2011-01-03T00:00:00"/>
    <n v="1"/>
    <n v="0"/>
    <n v="1"/>
    <x v="9"/>
    <b v="0"/>
    <n v="1"/>
    <n v="1"/>
    <n v="0.16"/>
    <n v="0.13639999999999999"/>
    <n v="0.43"/>
    <n v="0.3881"/>
    <n v="7"/>
    <n v="81"/>
    <n v="88"/>
    <x v="2"/>
  </r>
  <r>
    <n v="56"/>
    <d v="2011-01-03T00:00:00"/>
    <n v="1"/>
    <n v="0"/>
    <n v="1"/>
    <x v="10"/>
    <b v="0"/>
    <n v="1"/>
    <n v="1"/>
    <n v="0.18"/>
    <n v="0.16669999999999999"/>
    <n v="0.43"/>
    <n v="0.25369999999999998"/>
    <n v="11"/>
    <n v="33"/>
    <n v="44"/>
    <x v="2"/>
  </r>
  <r>
    <n v="57"/>
    <d v="2011-01-03T00:00:00"/>
    <n v="1"/>
    <n v="0"/>
    <n v="1"/>
    <x v="11"/>
    <b v="0"/>
    <n v="1"/>
    <n v="1"/>
    <n v="0.2"/>
    <n v="0.18179999999999999"/>
    <n v="0.4"/>
    <n v="0.32840000000000003"/>
    <n v="10"/>
    <n v="41"/>
    <n v="51"/>
    <x v="2"/>
  </r>
  <r>
    <n v="58"/>
    <d v="2011-01-03T00:00:00"/>
    <n v="1"/>
    <n v="0"/>
    <n v="1"/>
    <x v="12"/>
    <b v="0"/>
    <n v="1"/>
    <n v="1"/>
    <n v="0.22"/>
    <n v="0.21210000000000001"/>
    <n v="0.35"/>
    <n v="0.29849999999999999"/>
    <n v="13"/>
    <n v="48"/>
    <n v="61"/>
    <x v="2"/>
  </r>
  <r>
    <n v="59"/>
    <d v="2011-01-03T00:00:00"/>
    <n v="1"/>
    <n v="0"/>
    <n v="1"/>
    <x v="13"/>
    <b v="0"/>
    <n v="1"/>
    <n v="1"/>
    <n v="0.24"/>
    <n v="0.19900000000000001"/>
    <n v="0.35"/>
    <n v="0.28360000000000002"/>
    <n v="8"/>
    <n v="53"/>
    <n v="61"/>
    <x v="2"/>
  </r>
  <r>
    <n v="60"/>
    <d v="2011-01-03T00:00:00"/>
    <n v="1"/>
    <n v="0"/>
    <n v="1"/>
    <x v="14"/>
    <b v="0"/>
    <n v="1"/>
    <n v="1"/>
    <n v="0.26"/>
    <n v="0.2424"/>
    <n v="0.3"/>
    <n v="0.28360000000000002"/>
    <n v="11"/>
    <n v="66"/>
    <n v="77"/>
    <x v="2"/>
  </r>
  <r>
    <n v="61"/>
    <d v="2011-01-03T00:00:00"/>
    <n v="1"/>
    <n v="0"/>
    <n v="1"/>
    <x v="15"/>
    <b v="0"/>
    <n v="1"/>
    <n v="1"/>
    <n v="0.26"/>
    <n v="0.2424"/>
    <n v="0.3"/>
    <n v="0.25369999999999998"/>
    <n v="14"/>
    <n v="58"/>
    <n v="72"/>
    <x v="2"/>
  </r>
  <r>
    <n v="62"/>
    <d v="2011-01-03T00:00:00"/>
    <n v="1"/>
    <n v="0"/>
    <n v="1"/>
    <x v="16"/>
    <b v="0"/>
    <n v="1"/>
    <n v="1"/>
    <n v="0.26"/>
    <n v="0.2424"/>
    <n v="0.3"/>
    <n v="0.25369999999999998"/>
    <n v="9"/>
    <n v="67"/>
    <n v="76"/>
    <x v="2"/>
  </r>
  <r>
    <n v="63"/>
    <d v="2011-01-03T00:00:00"/>
    <n v="1"/>
    <n v="0"/>
    <n v="1"/>
    <x v="17"/>
    <b v="0"/>
    <n v="1"/>
    <n v="1"/>
    <n v="0.24"/>
    <n v="0.2273"/>
    <n v="0.3"/>
    <n v="0.22389999999999999"/>
    <n v="11"/>
    <n v="146"/>
    <n v="157"/>
    <x v="2"/>
  </r>
  <r>
    <n v="64"/>
    <d v="2011-01-03T00:00:00"/>
    <n v="1"/>
    <n v="0"/>
    <n v="1"/>
    <x v="18"/>
    <b v="0"/>
    <n v="1"/>
    <n v="1"/>
    <n v="0.24"/>
    <n v="0.2576"/>
    <n v="0.32"/>
    <n v="0.1045"/>
    <n v="9"/>
    <n v="148"/>
    <n v="157"/>
    <x v="2"/>
  </r>
  <r>
    <n v="65"/>
    <d v="2011-01-03T00:00:00"/>
    <n v="1"/>
    <n v="0"/>
    <n v="1"/>
    <x v="19"/>
    <b v="0"/>
    <n v="1"/>
    <n v="1"/>
    <n v="0.2"/>
    <n v="0.2576"/>
    <n v="0.47"/>
    <n v="0"/>
    <n v="8"/>
    <n v="102"/>
    <n v="110"/>
    <x v="2"/>
  </r>
  <r>
    <n v="66"/>
    <d v="2011-01-03T00:00:00"/>
    <n v="1"/>
    <n v="0"/>
    <n v="1"/>
    <x v="20"/>
    <b v="0"/>
    <n v="1"/>
    <n v="1"/>
    <n v="0.2"/>
    <n v="0.19900000000000001"/>
    <n v="0.47"/>
    <n v="0.1045"/>
    <n v="3"/>
    <n v="49"/>
    <n v="52"/>
    <x v="2"/>
  </r>
  <r>
    <n v="67"/>
    <d v="2011-01-03T00:00:00"/>
    <n v="1"/>
    <n v="0"/>
    <n v="1"/>
    <x v="21"/>
    <b v="0"/>
    <n v="1"/>
    <n v="1"/>
    <n v="0.18"/>
    <n v="0.19700000000000001"/>
    <n v="0.64"/>
    <n v="0.1343"/>
    <n v="3"/>
    <n v="49"/>
    <n v="52"/>
    <x v="2"/>
  </r>
  <r>
    <n v="68"/>
    <d v="2011-01-03T00:00:00"/>
    <n v="1"/>
    <n v="0"/>
    <n v="1"/>
    <x v="22"/>
    <b v="0"/>
    <n v="1"/>
    <n v="1"/>
    <n v="0.14000000000000001"/>
    <n v="0.1515"/>
    <n v="0.69"/>
    <n v="0.1343"/>
    <n v="0"/>
    <n v="20"/>
    <n v="20"/>
    <x v="2"/>
  </r>
  <r>
    <n v="69"/>
    <d v="2011-01-03T00:00:00"/>
    <n v="1"/>
    <n v="0"/>
    <n v="1"/>
    <x v="23"/>
    <b v="0"/>
    <n v="1"/>
    <n v="1"/>
    <n v="0.18"/>
    <n v="0.21210000000000001"/>
    <n v="0.55000000000000004"/>
    <n v="0.1045"/>
    <n v="1"/>
    <n v="11"/>
    <n v="12"/>
    <x v="2"/>
  </r>
  <r>
    <n v="70"/>
    <d v="2011-01-04T00:00:00"/>
    <n v="1"/>
    <n v="0"/>
    <n v="1"/>
    <x v="0"/>
    <b v="0"/>
    <n v="2"/>
    <n v="1"/>
    <n v="0.16"/>
    <n v="0.19900000000000001"/>
    <n v="0.55000000000000004"/>
    <n v="0.1045"/>
    <n v="0"/>
    <n v="5"/>
    <n v="5"/>
    <x v="3"/>
  </r>
  <r>
    <n v="71"/>
    <d v="2011-01-04T00:00:00"/>
    <n v="1"/>
    <n v="0"/>
    <n v="1"/>
    <x v="1"/>
    <b v="0"/>
    <n v="2"/>
    <n v="1"/>
    <n v="0.16"/>
    <n v="0.18179999999999999"/>
    <n v="0.59"/>
    <n v="0.1045"/>
    <n v="0"/>
    <n v="2"/>
    <n v="2"/>
    <x v="3"/>
  </r>
  <r>
    <n v="72"/>
    <d v="2011-01-04T00:00:00"/>
    <n v="1"/>
    <n v="0"/>
    <n v="1"/>
    <x v="2"/>
    <b v="0"/>
    <n v="2"/>
    <n v="1"/>
    <n v="0.14000000000000001"/>
    <n v="0.1515"/>
    <n v="0.63"/>
    <n v="0.1343"/>
    <n v="0"/>
    <n v="1"/>
    <n v="1"/>
    <x v="3"/>
  </r>
  <r>
    <n v="73"/>
    <d v="2011-01-04T00:00:00"/>
    <n v="1"/>
    <n v="0"/>
    <n v="1"/>
    <x v="4"/>
    <b v="0"/>
    <n v="2"/>
    <n v="1"/>
    <n v="0.14000000000000001"/>
    <n v="0.18179999999999999"/>
    <n v="0.63"/>
    <n v="8.9599999999999999E-2"/>
    <n v="0"/>
    <n v="2"/>
    <n v="2"/>
    <x v="3"/>
  </r>
  <r>
    <n v="74"/>
    <d v="2011-01-04T00:00:00"/>
    <n v="1"/>
    <n v="0"/>
    <n v="1"/>
    <x v="5"/>
    <b v="0"/>
    <n v="2"/>
    <n v="1"/>
    <n v="0.12"/>
    <n v="0.1515"/>
    <n v="0.68"/>
    <n v="0.1045"/>
    <n v="0"/>
    <n v="4"/>
    <n v="4"/>
    <x v="3"/>
  </r>
  <r>
    <n v="75"/>
    <d v="2011-01-04T00:00:00"/>
    <n v="1"/>
    <n v="0"/>
    <n v="1"/>
    <x v="6"/>
    <b v="0"/>
    <n v="2"/>
    <n v="1"/>
    <n v="0.12"/>
    <n v="0.1515"/>
    <n v="0.74"/>
    <n v="0.1045"/>
    <n v="0"/>
    <n v="36"/>
    <n v="36"/>
    <x v="3"/>
  </r>
  <r>
    <n v="76"/>
    <d v="2011-01-04T00:00:00"/>
    <n v="1"/>
    <n v="0"/>
    <n v="1"/>
    <x v="7"/>
    <b v="0"/>
    <n v="2"/>
    <n v="1"/>
    <n v="0.12"/>
    <n v="0.1515"/>
    <n v="0.74"/>
    <n v="0.1343"/>
    <n v="2"/>
    <n v="92"/>
    <n v="94"/>
    <x v="3"/>
  </r>
  <r>
    <n v="77"/>
    <d v="2011-01-04T00:00:00"/>
    <n v="1"/>
    <n v="0"/>
    <n v="1"/>
    <x v="8"/>
    <b v="0"/>
    <n v="2"/>
    <n v="1"/>
    <n v="0.14000000000000001"/>
    <n v="0.1515"/>
    <n v="0.69"/>
    <n v="0.16420000000000001"/>
    <n v="2"/>
    <n v="177"/>
    <n v="179"/>
    <x v="3"/>
  </r>
  <r>
    <n v="78"/>
    <d v="2011-01-04T00:00:00"/>
    <n v="1"/>
    <n v="0"/>
    <n v="1"/>
    <x v="9"/>
    <b v="0"/>
    <n v="2"/>
    <n v="1"/>
    <n v="0.16"/>
    <n v="0.1515"/>
    <n v="0.64"/>
    <n v="0.22389999999999999"/>
    <n v="2"/>
    <n v="98"/>
    <n v="100"/>
    <x v="3"/>
  </r>
  <r>
    <n v="79"/>
    <d v="2011-01-04T00:00:00"/>
    <n v="1"/>
    <n v="0"/>
    <n v="1"/>
    <x v="10"/>
    <b v="0"/>
    <n v="2"/>
    <n v="2"/>
    <n v="0.16"/>
    <n v="0.13639999999999999"/>
    <n v="0.69"/>
    <n v="0.32840000000000003"/>
    <n v="5"/>
    <n v="37"/>
    <n v="42"/>
    <x v="3"/>
  </r>
  <r>
    <n v="80"/>
    <d v="2011-01-04T00:00:00"/>
    <n v="1"/>
    <n v="0"/>
    <n v="1"/>
    <x v="11"/>
    <b v="0"/>
    <n v="2"/>
    <n v="1"/>
    <n v="0.22"/>
    <n v="0.21210000000000001"/>
    <n v="0.51"/>
    <n v="0.29849999999999999"/>
    <n v="7"/>
    <n v="50"/>
    <n v="57"/>
    <x v="3"/>
  </r>
  <r>
    <n v="81"/>
    <d v="2011-01-04T00:00:00"/>
    <n v="1"/>
    <n v="0"/>
    <n v="1"/>
    <x v="12"/>
    <b v="0"/>
    <n v="2"/>
    <n v="1"/>
    <n v="0.22"/>
    <n v="0.2273"/>
    <n v="0.51"/>
    <n v="0.16420000000000001"/>
    <n v="12"/>
    <n v="66"/>
    <n v="78"/>
    <x v="3"/>
  </r>
  <r>
    <n v="82"/>
    <d v="2011-01-04T00:00:00"/>
    <n v="1"/>
    <n v="0"/>
    <n v="1"/>
    <x v="13"/>
    <b v="0"/>
    <n v="2"/>
    <n v="1"/>
    <n v="0.24"/>
    <n v="0.2273"/>
    <n v="0.56000000000000005"/>
    <n v="0.19400000000000001"/>
    <n v="18"/>
    <n v="79"/>
    <n v="97"/>
    <x v="3"/>
  </r>
  <r>
    <n v="83"/>
    <d v="2011-01-04T00:00:00"/>
    <n v="1"/>
    <n v="0"/>
    <n v="1"/>
    <x v="14"/>
    <b v="0"/>
    <n v="2"/>
    <n v="1"/>
    <n v="0.26"/>
    <n v="0.2576"/>
    <n v="0.52"/>
    <n v="0.22389999999999999"/>
    <n v="9"/>
    <n v="54"/>
    <n v="63"/>
    <x v="3"/>
  </r>
  <r>
    <n v="84"/>
    <d v="2011-01-04T00:00:00"/>
    <n v="1"/>
    <n v="0"/>
    <n v="1"/>
    <x v="15"/>
    <b v="0"/>
    <n v="2"/>
    <n v="1"/>
    <n v="0.28000000000000003"/>
    <n v="0.2727"/>
    <n v="0.52"/>
    <n v="0.25369999999999998"/>
    <n v="17"/>
    <n v="48"/>
    <n v="65"/>
    <x v="3"/>
  </r>
  <r>
    <n v="85"/>
    <d v="2011-01-04T00:00:00"/>
    <n v="1"/>
    <n v="0"/>
    <n v="1"/>
    <x v="16"/>
    <b v="0"/>
    <n v="2"/>
    <n v="1"/>
    <n v="0.3"/>
    <n v="0.28789999999999999"/>
    <n v="0.49"/>
    <n v="0.25369999999999998"/>
    <n v="15"/>
    <n v="68"/>
    <n v="83"/>
    <x v="3"/>
  </r>
  <r>
    <n v="86"/>
    <d v="2011-01-04T00:00:00"/>
    <n v="1"/>
    <n v="0"/>
    <n v="1"/>
    <x v="17"/>
    <b v="0"/>
    <n v="2"/>
    <n v="1"/>
    <n v="0.28000000000000003"/>
    <n v="0.2727"/>
    <n v="0.48"/>
    <n v="0.22389999999999999"/>
    <n v="10"/>
    <n v="202"/>
    <n v="212"/>
    <x v="3"/>
  </r>
  <r>
    <n v="87"/>
    <d v="2011-01-04T00:00:00"/>
    <n v="1"/>
    <n v="0"/>
    <n v="1"/>
    <x v="18"/>
    <b v="0"/>
    <n v="2"/>
    <n v="1"/>
    <n v="0.26"/>
    <n v="0.2576"/>
    <n v="0.48"/>
    <n v="0.19400000000000001"/>
    <n v="3"/>
    <n v="179"/>
    <n v="182"/>
    <x v="3"/>
  </r>
  <r>
    <n v="88"/>
    <d v="2011-01-04T00:00:00"/>
    <n v="1"/>
    <n v="0"/>
    <n v="1"/>
    <x v="19"/>
    <b v="0"/>
    <n v="2"/>
    <n v="1"/>
    <n v="0.24"/>
    <n v="0.2576"/>
    <n v="0.48"/>
    <n v="0.1045"/>
    <n v="2"/>
    <n v="110"/>
    <n v="112"/>
    <x v="3"/>
  </r>
  <r>
    <n v="89"/>
    <d v="2011-01-04T00:00:00"/>
    <n v="1"/>
    <n v="0"/>
    <n v="1"/>
    <x v="20"/>
    <b v="0"/>
    <n v="2"/>
    <n v="1"/>
    <n v="0.24"/>
    <n v="0.2576"/>
    <n v="0.48"/>
    <n v="0.1045"/>
    <n v="1"/>
    <n v="53"/>
    <n v="54"/>
    <x v="3"/>
  </r>
  <r>
    <n v="90"/>
    <d v="2011-01-04T00:00:00"/>
    <n v="1"/>
    <n v="0"/>
    <n v="1"/>
    <x v="21"/>
    <b v="0"/>
    <n v="2"/>
    <n v="1"/>
    <n v="0.22"/>
    <n v="0.2727"/>
    <n v="0.64"/>
    <n v="0"/>
    <n v="0"/>
    <n v="48"/>
    <n v="48"/>
    <x v="3"/>
  </r>
  <r>
    <n v="91"/>
    <d v="2011-01-04T00:00:00"/>
    <n v="1"/>
    <n v="0"/>
    <n v="1"/>
    <x v="22"/>
    <b v="0"/>
    <n v="2"/>
    <n v="1"/>
    <n v="0.22"/>
    <n v="0.2576"/>
    <n v="0.64"/>
    <n v="8.9599999999999999E-2"/>
    <n v="1"/>
    <n v="34"/>
    <n v="35"/>
    <x v="3"/>
  </r>
  <r>
    <n v="92"/>
    <d v="2011-01-04T00:00:00"/>
    <n v="1"/>
    <n v="0"/>
    <n v="1"/>
    <x v="23"/>
    <b v="0"/>
    <n v="2"/>
    <n v="1"/>
    <n v="0.2"/>
    <n v="0.2273"/>
    <n v="0.69"/>
    <n v="8.9599999999999999E-2"/>
    <n v="2"/>
    <n v="9"/>
    <n v="11"/>
    <x v="3"/>
  </r>
  <r>
    <n v="93"/>
    <d v="2011-01-05T00:00:00"/>
    <n v="1"/>
    <n v="0"/>
    <n v="1"/>
    <x v="0"/>
    <b v="0"/>
    <n v="3"/>
    <n v="1"/>
    <n v="0.2"/>
    <n v="0.2576"/>
    <n v="0.64"/>
    <n v="0"/>
    <n v="0"/>
    <n v="6"/>
    <n v="6"/>
    <x v="4"/>
  </r>
  <r>
    <n v="94"/>
    <d v="2011-01-05T00:00:00"/>
    <n v="1"/>
    <n v="0"/>
    <n v="1"/>
    <x v="1"/>
    <b v="0"/>
    <n v="3"/>
    <n v="1"/>
    <n v="0.16"/>
    <n v="0.19700000000000001"/>
    <n v="0.74"/>
    <n v="8.9599999999999999E-2"/>
    <n v="0"/>
    <n v="6"/>
    <n v="6"/>
    <x v="4"/>
  </r>
  <r>
    <n v="95"/>
    <d v="2011-01-05T00:00:00"/>
    <n v="1"/>
    <n v="0"/>
    <n v="1"/>
    <x v="2"/>
    <b v="0"/>
    <n v="3"/>
    <n v="1"/>
    <n v="0.16"/>
    <n v="0.19700000000000001"/>
    <n v="0.74"/>
    <n v="8.9599999999999999E-2"/>
    <n v="0"/>
    <n v="2"/>
    <n v="2"/>
    <x v="4"/>
  </r>
  <r>
    <n v="96"/>
    <d v="2011-01-05T00:00:00"/>
    <n v="1"/>
    <n v="0"/>
    <n v="1"/>
    <x v="4"/>
    <b v="0"/>
    <n v="3"/>
    <n v="1"/>
    <n v="0.24"/>
    <n v="0.2273"/>
    <n v="0.48"/>
    <n v="0.22389999999999999"/>
    <n v="0"/>
    <n v="2"/>
    <n v="2"/>
    <x v="4"/>
  </r>
  <r>
    <n v="97"/>
    <d v="2011-01-05T00:00:00"/>
    <n v="1"/>
    <n v="0"/>
    <n v="1"/>
    <x v="5"/>
    <b v="0"/>
    <n v="3"/>
    <n v="1"/>
    <n v="0.22"/>
    <n v="0.2273"/>
    <n v="0.47"/>
    <n v="0.16420000000000001"/>
    <n v="0"/>
    <n v="3"/>
    <n v="3"/>
    <x v="4"/>
  </r>
  <r>
    <n v="98"/>
    <d v="2011-01-05T00:00:00"/>
    <n v="1"/>
    <n v="0"/>
    <n v="1"/>
    <x v="6"/>
    <b v="0"/>
    <n v="3"/>
    <n v="1"/>
    <n v="0.2"/>
    <n v="0.19700000000000001"/>
    <n v="0.47"/>
    <n v="0.22389999999999999"/>
    <n v="0"/>
    <n v="33"/>
    <n v="33"/>
    <x v="4"/>
  </r>
  <r>
    <n v="99"/>
    <d v="2011-01-05T00:00:00"/>
    <n v="1"/>
    <n v="0"/>
    <n v="1"/>
    <x v="7"/>
    <b v="0"/>
    <n v="3"/>
    <n v="1"/>
    <n v="0.18"/>
    <n v="0.18179999999999999"/>
    <n v="0.43"/>
    <n v="0.19400000000000001"/>
    <n v="1"/>
    <n v="87"/>
    <n v="88"/>
    <x v="4"/>
  </r>
  <r>
    <n v="100"/>
    <d v="2011-01-05T00:00:00"/>
    <n v="1"/>
    <n v="0"/>
    <n v="1"/>
    <x v="8"/>
    <b v="0"/>
    <n v="3"/>
    <n v="1"/>
    <n v="0.2"/>
    <n v="0.18179999999999999"/>
    <n v="0.4"/>
    <n v="0.29849999999999999"/>
    <n v="3"/>
    <n v="192"/>
    <n v="195"/>
    <x v="4"/>
  </r>
  <r>
    <n v="101"/>
    <d v="2011-01-05T00:00:00"/>
    <n v="1"/>
    <n v="0"/>
    <n v="1"/>
    <x v="9"/>
    <b v="0"/>
    <n v="3"/>
    <n v="1"/>
    <n v="0.22"/>
    <n v="0.19700000000000001"/>
    <n v="0.37"/>
    <n v="0.32840000000000003"/>
    <n v="6"/>
    <n v="109"/>
    <n v="115"/>
    <x v="4"/>
  </r>
  <r>
    <n v="102"/>
    <d v="2011-01-05T00:00:00"/>
    <n v="1"/>
    <n v="0"/>
    <n v="1"/>
    <x v="10"/>
    <b v="0"/>
    <n v="3"/>
    <n v="1"/>
    <n v="0.22"/>
    <n v="0.19700000000000001"/>
    <n v="0.37"/>
    <n v="0.32840000000000003"/>
    <n v="4"/>
    <n v="53"/>
    <n v="57"/>
    <x v="4"/>
  </r>
  <r>
    <n v="103"/>
    <d v="2011-01-05T00:00:00"/>
    <n v="1"/>
    <n v="0"/>
    <n v="1"/>
    <x v="11"/>
    <b v="0"/>
    <n v="3"/>
    <n v="1"/>
    <n v="0.26"/>
    <n v="0.2273"/>
    <n v="0.33"/>
    <n v="0.32840000000000003"/>
    <n v="12"/>
    <n v="34"/>
    <n v="46"/>
    <x v="4"/>
  </r>
  <r>
    <n v="104"/>
    <d v="2011-01-05T00:00:00"/>
    <n v="1"/>
    <n v="0"/>
    <n v="1"/>
    <x v="12"/>
    <b v="0"/>
    <n v="3"/>
    <n v="1"/>
    <n v="0.26"/>
    <n v="0.2273"/>
    <n v="0.33"/>
    <n v="0.32840000000000003"/>
    <n v="5"/>
    <n v="74"/>
    <n v="79"/>
    <x v="4"/>
  </r>
  <r>
    <n v="105"/>
    <d v="2011-01-05T00:00:00"/>
    <n v="1"/>
    <n v="0"/>
    <n v="1"/>
    <x v="13"/>
    <b v="0"/>
    <n v="3"/>
    <n v="1"/>
    <n v="0.28000000000000003"/>
    <n v="0.2576"/>
    <n v="0.3"/>
    <n v="0.29849999999999999"/>
    <n v="6"/>
    <n v="65"/>
    <n v="71"/>
    <x v="4"/>
  </r>
  <r>
    <n v="106"/>
    <d v="2011-01-05T00:00:00"/>
    <n v="1"/>
    <n v="0"/>
    <n v="1"/>
    <x v="14"/>
    <b v="0"/>
    <n v="3"/>
    <n v="1"/>
    <n v="0.3"/>
    <n v="0.28789999999999999"/>
    <n v="0.28000000000000003"/>
    <n v="0.19400000000000001"/>
    <n v="10"/>
    <n v="52"/>
    <n v="62"/>
    <x v="4"/>
  </r>
  <r>
    <n v="107"/>
    <d v="2011-01-05T00:00:00"/>
    <n v="1"/>
    <n v="0"/>
    <n v="1"/>
    <x v="15"/>
    <b v="0"/>
    <n v="3"/>
    <n v="1"/>
    <n v="0.3"/>
    <n v="0.28789999999999999"/>
    <n v="0.28000000000000003"/>
    <n v="0.19400000000000001"/>
    <n v="7"/>
    <n v="55"/>
    <n v="62"/>
    <x v="4"/>
  </r>
  <r>
    <n v="108"/>
    <d v="2011-01-05T00:00:00"/>
    <n v="1"/>
    <n v="0"/>
    <n v="1"/>
    <x v="16"/>
    <b v="0"/>
    <n v="3"/>
    <n v="1"/>
    <n v="0.3"/>
    <n v="0.31819999999999998"/>
    <n v="0.28000000000000003"/>
    <n v="8.9599999999999999E-2"/>
    <n v="4"/>
    <n v="85"/>
    <n v="89"/>
    <x v="4"/>
  </r>
  <r>
    <n v="109"/>
    <d v="2011-01-05T00:00:00"/>
    <n v="1"/>
    <n v="0"/>
    <n v="1"/>
    <x v="17"/>
    <b v="0"/>
    <n v="3"/>
    <n v="1"/>
    <n v="0.24"/>
    <n v="0.2273"/>
    <n v="0.38"/>
    <n v="0.19400000000000001"/>
    <n v="4"/>
    <n v="186"/>
    <n v="190"/>
    <x v="4"/>
  </r>
  <r>
    <n v="110"/>
    <d v="2011-01-05T00:00:00"/>
    <n v="1"/>
    <n v="0"/>
    <n v="1"/>
    <x v="18"/>
    <b v="0"/>
    <n v="3"/>
    <n v="1"/>
    <n v="0.24"/>
    <n v="0.2424"/>
    <n v="0.38"/>
    <n v="0.1343"/>
    <n v="3"/>
    <n v="166"/>
    <n v="169"/>
    <x v="4"/>
  </r>
  <r>
    <n v="111"/>
    <d v="2011-01-05T00:00:00"/>
    <n v="1"/>
    <n v="0"/>
    <n v="1"/>
    <x v="19"/>
    <b v="0"/>
    <n v="3"/>
    <n v="1"/>
    <n v="0.24"/>
    <n v="0.2576"/>
    <n v="0.38"/>
    <n v="0.1045"/>
    <n v="5"/>
    <n v="127"/>
    <n v="132"/>
    <x v="4"/>
  </r>
  <r>
    <n v="112"/>
    <d v="2011-01-05T00:00:00"/>
    <n v="1"/>
    <n v="0"/>
    <n v="1"/>
    <x v="20"/>
    <b v="0"/>
    <n v="3"/>
    <n v="1"/>
    <n v="0.22"/>
    <n v="0.2273"/>
    <n v="0.47"/>
    <n v="0.16420000000000001"/>
    <n v="7"/>
    <n v="82"/>
    <n v="89"/>
    <x v="4"/>
  </r>
  <r>
    <n v="113"/>
    <d v="2011-01-05T00:00:00"/>
    <n v="1"/>
    <n v="0"/>
    <n v="1"/>
    <x v="21"/>
    <b v="0"/>
    <n v="3"/>
    <n v="1"/>
    <n v="0.2"/>
    <n v="0.19700000000000001"/>
    <n v="0.51"/>
    <n v="0.19400000000000001"/>
    <n v="3"/>
    <n v="40"/>
    <n v="43"/>
    <x v="4"/>
  </r>
  <r>
    <n v="114"/>
    <d v="2011-01-05T00:00:00"/>
    <n v="1"/>
    <n v="0"/>
    <n v="1"/>
    <x v="22"/>
    <b v="0"/>
    <n v="3"/>
    <n v="1"/>
    <n v="0.18"/>
    <n v="0.19700000000000001"/>
    <n v="0.55000000000000004"/>
    <n v="0.1343"/>
    <n v="1"/>
    <n v="41"/>
    <n v="42"/>
    <x v="4"/>
  </r>
  <r>
    <n v="115"/>
    <d v="2011-01-05T00:00:00"/>
    <n v="1"/>
    <n v="0"/>
    <n v="1"/>
    <x v="23"/>
    <b v="0"/>
    <n v="3"/>
    <n v="1"/>
    <n v="0.2"/>
    <n v="0.2576"/>
    <n v="0.47"/>
    <n v="0"/>
    <n v="1"/>
    <n v="18"/>
    <n v="19"/>
    <x v="4"/>
  </r>
  <r>
    <n v="116"/>
    <d v="2011-01-06T00:00:00"/>
    <n v="1"/>
    <n v="0"/>
    <n v="1"/>
    <x v="0"/>
    <b v="0"/>
    <n v="4"/>
    <n v="1"/>
    <n v="0.18"/>
    <n v="0.2424"/>
    <n v="0.55000000000000004"/>
    <n v="0"/>
    <n v="0"/>
    <n v="11"/>
    <n v="11"/>
    <x v="5"/>
  </r>
  <r>
    <n v="117"/>
    <d v="2011-01-06T00:00:00"/>
    <n v="1"/>
    <n v="0"/>
    <n v="1"/>
    <x v="1"/>
    <b v="0"/>
    <n v="4"/>
    <n v="1"/>
    <n v="0.16"/>
    <n v="0.2273"/>
    <n v="0.64"/>
    <n v="0"/>
    <n v="0"/>
    <n v="4"/>
    <n v="4"/>
    <x v="5"/>
  </r>
  <r>
    <n v="118"/>
    <d v="2011-01-06T00:00:00"/>
    <n v="1"/>
    <n v="0"/>
    <n v="1"/>
    <x v="2"/>
    <b v="0"/>
    <n v="4"/>
    <n v="1"/>
    <n v="0.16"/>
    <n v="0.2273"/>
    <n v="0.64"/>
    <n v="0"/>
    <n v="0"/>
    <n v="2"/>
    <n v="2"/>
    <x v="5"/>
  </r>
  <r>
    <n v="119"/>
    <d v="2011-01-06T00:00:00"/>
    <n v="1"/>
    <n v="0"/>
    <n v="1"/>
    <x v="4"/>
    <b v="0"/>
    <n v="4"/>
    <n v="2"/>
    <n v="0.16"/>
    <n v="0.19700000000000001"/>
    <n v="0.64"/>
    <n v="8.9599999999999999E-2"/>
    <n v="0"/>
    <n v="1"/>
    <n v="1"/>
    <x v="5"/>
  </r>
  <r>
    <n v="120"/>
    <d v="2011-01-06T00:00:00"/>
    <n v="1"/>
    <n v="0"/>
    <n v="1"/>
    <x v="5"/>
    <b v="0"/>
    <n v="4"/>
    <n v="2"/>
    <n v="0.14000000000000001"/>
    <n v="0.18179999999999999"/>
    <n v="0.69"/>
    <n v="8.9599999999999999E-2"/>
    <n v="0"/>
    <n v="4"/>
    <n v="4"/>
    <x v="5"/>
  </r>
  <r>
    <n v="121"/>
    <d v="2011-01-06T00:00:00"/>
    <n v="1"/>
    <n v="0"/>
    <n v="1"/>
    <x v="6"/>
    <b v="0"/>
    <n v="4"/>
    <n v="2"/>
    <n v="0.14000000000000001"/>
    <n v="0.16669999999999999"/>
    <n v="0.63"/>
    <n v="0.1045"/>
    <n v="0"/>
    <n v="36"/>
    <n v="36"/>
    <x v="5"/>
  </r>
  <r>
    <n v="122"/>
    <d v="2011-01-06T00:00:00"/>
    <n v="1"/>
    <n v="0"/>
    <n v="1"/>
    <x v="7"/>
    <b v="0"/>
    <n v="4"/>
    <n v="2"/>
    <n v="0.16"/>
    <n v="0.2273"/>
    <n v="0.59"/>
    <n v="0"/>
    <n v="0"/>
    <n v="95"/>
    <n v="95"/>
    <x v="5"/>
  </r>
  <r>
    <n v="123"/>
    <d v="2011-01-06T00:00:00"/>
    <n v="1"/>
    <n v="0"/>
    <n v="1"/>
    <x v="8"/>
    <b v="0"/>
    <n v="4"/>
    <n v="1"/>
    <n v="0.16"/>
    <n v="0.2273"/>
    <n v="0.59"/>
    <n v="0"/>
    <n v="3"/>
    <n v="216"/>
    <n v="219"/>
    <x v="5"/>
  </r>
  <r>
    <n v="124"/>
    <d v="2011-01-06T00:00:00"/>
    <n v="1"/>
    <n v="0"/>
    <n v="1"/>
    <x v="9"/>
    <b v="0"/>
    <n v="4"/>
    <n v="2"/>
    <n v="0.18"/>
    <n v="0.2424"/>
    <n v="0.51"/>
    <n v="0"/>
    <n v="6"/>
    <n v="116"/>
    <n v="122"/>
    <x v="5"/>
  </r>
  <r>
    <n v="125"/>
    <d v="2011-01-06T00:00:00"/>
    <n v="1"/>
    <n v="0"/>
    <n v="1"/>
    <x v="10"/>
    <b v="0"/>
    <n v="4"/>
    <n v="1"/>
    <n v="0.2"/>
    <n v="0.2576"/>
    <n v="0.47"/>
    <n v="0"/>
    <n v="3"/>
    <n v="42"/>
    <n v="45"/>
    <x v="5"/>
  </r>
  <r>
    <n v="126"/>
    <d v="2011-01-06T00:00:00"/>
    <n v="1"/>
    <n v="0"/>
    <n v="1"/>
    <x v="11"/>
    <b v="0"/>
    <n v="4"/>
    <n v="1"/>
    <n v="0.22"/>
    <n v="0.2576"/>
    <n v="0.44"/>
    <n v="8.9599999999999999E-2"/>
    <n v="2"/>
    <n v="57"/>
    <n v="59"/>
    <x v="5"/>
  </r>
  <r>
    <n v="127"/>
    <d v="2011-01-06T00:00:00"/>
    <n v="1"/>
    <n v="0"/>
    <n v="1"/>
    <x v="12"/>
    <b v="0"/>
    <n v="4"/>
    <n v="1"/>
    <n v="0.26"/>
    <n v="0.28789999999999999"/>
    <n v="0.35"/>
    <n v="0"/>
    <n v="6"/>
    <n v="78"/>
    <n v="84"/>
    <x v="5"/>
  </r>
  <r>
    <n v="128"/>
    <d v="2011-01-06T00:00:00"/>
    <n v="1"/>
    <n v="0"/>
    <n v="1"/>
    <x v="13"/>
    <b v="0"/>
    <n v="4"/>
    <n v="1"/>
    <n v="0.26"/>
    <n v="0.2727"/>
    <n v="0.35"/>
    <n v="0.1045"/>
    <n v="12"/>
    <n v="55"/>
    <n v="67"/>
    <x v="5"/>
  </r>
  <r>
    <n v="129"/>
    <d v="2011-01-06T00:00:00"/>
    <n v="1"/>
    <n v="0"/>
    <n v="1"/>
    <x v="14"/>
    <b v="0"/>
    <n v="4"/>
    <n v="1"/>
    <n v="0.28000000000000003"/>
    <n v="0.2727"/>
    <n v="0.36"/>
    <n v="0.16420000000000001"/>
    <n v="11"/>
    <n v="59"/>
    <n v="70"/>
    <x v="5"/>
  </r>
  <r>
    <n v="130"/>
    <d v="2011-01-06T00:00:00"/>
    <n v="1"/>
    <n v="0"/>
    <n v="1"/>
    <x v="15"/>
    <b v="0"/>
    <n v="4"/>
    <n v="1"/>
    <n v="0.28000000000000003"/>
    <n v="0.2727"/>
    <n v="0.36"/>
    <n v="0"/>
    <n v="8"/>
    <n v="54"/>
    <n v="62"/>
    <x v="5"/>
  </r>
  <r>
    <n v="131"/>
    <d v="2011-01-06T00:00:00"/>
    <n v="1"/>
    <n v="0"/>
    <n v="1"/>
    <x v="16"/>
    <b v="0"/>
    <n v="4"/>
    <n v="1"/>
    <n v="0.26"/>
    <n v="0.2576"/>
    <n v="0.38"/>
    <n v="0.16420000000000001"/>
    <n v="12"/>
    <n v="74"/>
    <n v="86"/>
    <x v="5"/>
  </r>
  <r>
    <n v="132"/>
    <d v="2011-01-06T00:00:00"/>
    <n v="1"/>
    <n v="0"/>
    <n v="1"/>
    <x v="17"/>
    <b v="0"/>
    <n v="4"/>
    <n v="1"/>
    <n v="0.22"/>
    <n v="0.2273"/>
    <n v="0.51"/>
    <n v="0.16420000000000001"/>
    <n v="9"/>
    <n v="163"/>
    <n v="172"/>
    <x v="5"/>
  </r>
  <r>
    <n v="133"/>
    <d v="2011-01-06T00:00:00"/>
    <n v="1"/>
    <n v="0"/>
    <n v="1"/>
    <x v="18"/>
    <b v="0"/>
    <n v="4"/>
    <n v="1"/>
    <n v="0.22"/>
    <n v="0.2273"/>
    <n v="0.51"/>
    <n v="0.1343"/>
    <n v="5"/>
    <n v="158"/>
    <n v="163"/>
    <x v="5"/>
  </r>
  <r>
    <n v="134"/>
    <d v="2011-01-06T00:00:00"/>
    <n v="1"/>
    <n v="0"/>
    <n v="1"/>
    <x v="19"/>
    <b v="0"/>
    <n v="4"/>
    <n v="1"/>
    <n v="0.22"/>
    <n v="0.2576"/>
    <n v="0.55000000000000004"/>
    <n v="8.9599999999999999E-2"/>
    <n v="3"/>
    <n v="109"/>
    <n v="112"/>
    <x v="5"/>
  </r>
  <r>
    <n v="135"/>
    <d v="2011-01-06T00:00:00"/>
    <n v="1"/>
    <n v="0"/>
    <n v="1"/>
    <x v="20"/>
    <b v="0"/>
    <n v="4"/>
    <n v="1"/>
    <n v="0.2"/>
    <n v="0.21210000000000001"/>
    <n v="0.51"/>
    <n v="0.16420000000000001"/>
    <n v="3"/>
    <n v="66"/>
    <n v="69"/>
    <x v="5"/>
  </r>
  <r>
    <n v="136"/>
    <d v="2011-01-06T00:00:00"/>
    <n v="1"/>
    <n v="0"/>
    <n v="1"/>
    <x v="21"/>
    <b v="0"/>
    <n v="4"/>
    <n v="2"/>
    <n v="0.22"/>
    <n v="0.21210000000000001"/>
    <n v="0.55000000000000004"/>
    <n v="0.22389999999999999"/>
    <n v="0"/>
    <n v="48"/>
    <n v="48"/>
    <x v="5"/>
  </r>
  <r>
    <n v="137"/>
    <d v="2011-01-06T00:00:00"/>
    <n v="1"/>
    <n v="0"/>
    <n v="1"/>
    <x v="22"/>
    <b v="0"/>
    <n v="4"/>
    <n v="2"/>
    <n v="0.22"/>
    <n v="0.21210000000000001"/>
    <n v="0.51"/>
    <n v="0.28360000000000002"/>
    <n v="1"/>
    <n v="51"/>
    <n v="52"/>
    <x v="5"/>
  </r>
  <r>
    <n v="138"/>
    <d v="2011-01-06T00:00:00"/>
    <n v="1"/>
    <n v="0"/>
    <n v="1"/>
    <x v="23"/>
    <b v="0"/>
    <n v="4"/>
    <n v="2"/>
    <n v="0.2"/>
    <n v="0.19700000000000001"/>
    <n v="0.59"/>
    <n v="0.19400000000000001"/>
    <n v="4"/>
    <n v="19"/>
    <n v="23"/>
    <x v="5"/>
  </r>
  <r>
    <n v="139"/>
    <d v="2011-01-07T00:00:00"/>
    <n v="1"/>
    <n v="0"/>
    <n v="1"/>
    <x v="0"/>
    <b v="0"/>
    <n v="5"/>
    <n v="2"/>
    <n v="0.2"/>
    <n v="0.19700000000000001"/>
    <n v="0.64"/>
    <n v="0.19400000000000001"/>
    <n v="4"/>
    <n v="13"/>
    <n v="17"/>
    <x v="6"/>
  </r>
  <r>
    <n v="140"/>
    <d v="2011-01-07T00:00:00"/>
    <n v="1"/>
    <n v="0"/>
    <n v="1"/>
    <x v="1"/>
    <b v="0"/>
    <n v="5"/>
    <n v="2"/>
    <n v="0.2"/>
    <n v="0.19700000000000001"/>
    <n v="0.69"/>
    <n v="0.22389999999999999"/>
    <n v="2"/>
    <n v="5"/>
    <n v="7"/>
    <x v="6"/>
  </r>
  <r>
    <n v="141"/>
    <d v="2011-01-07T00:00:00"/>
    <n v="1"/>
    <n v="0"/>
    <n v="1"/>
    <x v="2"/>
    <b v="0"/>
    <n v="5"/>
    <n v="2"/>
    <n v="0.2"/>
    <n v="0.19700000000000001"/>
    <n v="0.69"/>
    <n v="0.22389999999999999"/>
    <n v="0"/>
    <n v="1"/>
    <n v="1"/>
    <x v="6"/>
  </r>
  <r>
    <n v="142"/>
    <d v="2011-01-07T00:00:00"/>
    <n v="1"/>
    <n v="0"/>
    <n v="1"/>
    <x v="4"/>
    <b v="0"/>
    <n v="5"/>
    <n v="2"/>
    <n v="0.2"/>
    <n v="0.21210000000000001"/>
    <n v="0.69"/>
    <n v="0.1343"/>
    <n v="0"/>
    <n v="1"/>
    <n v="1"/>
    <x v="6"/>
  </r>
  <r>
    <n v="143"/>
    <d v="2011-01-07T00:00:00"/>
    <n v="1"/>
    <n v="0"/>
    <n v="1"/>
    <x v="5"/>
    <b v="0"/>
    <n v="5"/>
    <n v="3"/>
    <n v="0.22"/>
    <n v="0.2727"/>
    <n v="0.55000000000000004"/>
    <n v="0"/>
    <n v="0"/>
    <n v="5"/>
    <n v="5"/>
    <x v="6"/>
  </r>
  <r>
    <n v="144"/>
    <d v="2011-01-07T00:00:00"/>
    <n v="1"/>
    <n v="0"/>
    <n v="1"/>
    <x v="6"/>
    <b v="0"/>
    <n v="5"/>
    <n v="2"/>
    <n v="0.2"/>
    <n v="0.2576"/>
    <n v="0.69"/>
    <n v="0"/>
    <n v="8"/>
    <n v="26"/>
    <n v="34"/>
    <x v="6"/>
  </r>
  <r>
    <n v="145"/>
    <d v="2011-01-07T00:00:00"/>
    <n v="1"/>
    <n v="0"/>
    <n v="1"/>
    <x v="7"/>
    <b v="0"/>
    <n v="5"/>
    <n v="1"/>
    <n v="0.2"/>
    <n v="0.21210000000000001"/>
    <n v="0.69"/>
    <n v="0.1343"/>
    <n v="8"/>
    <n v="76"/>
    <n v="84"/>
    <x v="6"/>
  </r>
  <r>
    <n v="146"/>
    <d v="2011-01-07T00:00:00"/>
    <n v="1"/>
    <n v="0"/>
    <n v="1"/>
    <x v="8"/>
    <b v="0"/>
    <n v="5"/>
    <n v="1"/>
    <n v="0.2"/>
    <n v="0.19700000000000001"/>
    <n v="0.51"/>
    <n v="0.25369999999999998"/>
    <n v="20"/>
    <n v="190"/>
    <n v="210"/>
    <x v="6"/>
  </r>
  <r>
    <n v="147"/>
    <d v="2011-01-07T00:00:00"/>
    <n v="1"/>
    <n v="0"/>
    <n v="1"/>
    <x v="9"/>
    <b v="0"/>
    <n v="5"/>
    <n v="1"/>
    <n v="0.2"/>
    <n v="0.18179999999999999"/>
    <n v="0.47"/>
    <n v="0.29849999999999999"/>
    <n v="9"/>
    <n v="125"/>
    <n v="134"/>
    <x v="6"/>
  </r>
  <r>
    <n v="148"/>
    <d v="2011-01-07T00:00:00"/>
    <n v="1"/>
    <n v="0"/>
    <n v="1"/>
    <x v="10"/>
    <b v="0"/>
    <n v="5"/>
    <n v="1"/>
    <n v="0.22"/>
    <n v="0.19700000000000001"/>
    <n v="0.37"/>
    <n v="0.32840000000000003"/>
    <n v="16"/>
    <n v="47"/>
    <n v="63"/>
    <x v="6"/>
  </r>
  <r>
    <n v="149"/>
    <d v="2011-01-07T00:00:00"/>
    <n v="1"/>
    <n v="0"/>
    <n v="1"/>
    <x v="11"/>
    <b v="0"/>
    <n v="5"/>
    <n v="2"/>
    <n v="0.2"/>
    <n v="0.19700000000000001"/>
    <n v="0.4"/>
    <n v="0.22389999999999999"/>
    <n v="19"/>
    <n v="48"/>
    <n v="67"/>
    <x v="6"/>
  </r>
  <r>
    <n v="150"/>
    <d v="2011-01-07T00:00:00"/>
    <n v="1"/>
    <n v="0"/>
    <n v="1"/>
    <x v="12"/>
    <b v="0"/>
    <n v="5"/>
    <n v="2"/>
    <n v="0.2"/>
    <n v="0.19700000000000001"/>
    <n v="0.37"/>
    <n v="0.25369999999999998"/>
    <n v="9"/>
    <n v="50"/>
    <n v="59"/>
    <x v="6"/>
  </r>
  <r>
    <n v="151"/>
    <d v="2011-01-07T00:00:00"/>
    <n v="1"/>
    <n v="0"/>
    <n v="1"/>
    <x v="13"/>
    <b v="0"/>
    <n v="5"/>
    <n v="2"/>
    <n v="0.2"/>
    <n v="0.18179999999999999"/>
    <n v="0.37"/>
    <n v="0.28360000000000002"/>
    <n v="9"/>
    <n v="64"/>
    <n v="73"/>
    <x v="6"/>
  </r>
  <r>
    <n v="152"/>
    <d v="2011-01-07T00:00:00"/>
    <n v="1"/>
    <n v="0"/>
    <n v="1"/>
    <x v="14"/>
    <b v="0"/>
    <n v="5"/>
    <n v="2"/>
    <n v="0.2"/>
    <n v="0.19700000000000001"/>
    <n v="0.4"/>
    <n v="0.25369999999999998"/>
    <n v="7"/>
    <n v="43"/>
    <n v="50"/>
    <x v="6"/>
  </r>
  <r>
    <n v="153"/>
    <d v="2011-01-07T00:00:00"/>
    <n v="1"/>
    <n v="0"/>
    <n v="1"/>
    <x v="15"/>
    <b v="0"/>
    <n v="5"/>
    <n v="2"/>
    <n v="0.2"/>
    <n v="0.21210000000000001"/>
    <n v="0.37"/>
    <n v="0.16420000000000001"/>
    <n v="9"/>
    <n v="63"/>
    <n v="72"/>
    <x v="6"/>
  </r>
  <r>
    <n v="154"/>
    <d v="2011-01-07T00:00:00"/>
    <n v="1"/>
    <n v="0"/>
    <n v="1"/>
    <x v="16"/>
    <b v="0"/>
    <n v="5"/>
    <n v="2"/>
    <n v="0.2"/>
    <n v="0.21210000000000001"/>
    <n v="0.37"/>
    <n v="0.16420000000000001"/>
    <n v="5"/>
    <n v="82"/>
    <n v="87"/>
    <x v="6"/>
  </r>
  <r>
    <n v="155"/>
    <d v="2011-01-07T00:00:00"/>
    <n v="1"/>
    <n v="0"/>
    <n v="1"/>
    <x v="17"/>
    <b v="0"/>
    <n v="5"/>
    <n v="2"/>
    <n v="0.2"/>
    <n v="0.2576"/>
    <n v="0.37"/>
    <n v="0"/>
    <n v="9"/>
    <n v="178"/>
    <n v="187"/>
    <x v="6"/>
  </r>
  <r>
    <n v="156"/>
    <d v="2011-01-07T00:00:00"/>
    <n v="1"/>
    <n v="0"/>
    <n v="1"/>
    <x v="18"/>
    <b v="0"/>
    <n v="5"/>
    <n v="1"/>
    <n v="0.2"/>
    <n v="0.2273"/>
    <n v="0.4"/>
    <n v="8.9599999999999999E-2"/>
    <n v="7"/>
    <n v="116"/>
    <n v="123"/>
    <x v="6"/>
  </r>
  <r>
    <n v="157"/>
    <d v="2011-01-07T00:00:00"/>
    <n v="1"/>
    <n v="0"/>
    <n v="1"/>
    <x v="19"/>
    <b v="0"/>
    <n v="5"/>
    <n v="1"/>
    <n v="0.16"/>
    <n v="0.19700000000000001"/>
    <n v="0.55000000000000004"/>
    <n v="8.9599999999999999E-2"/>
    <n v="3"/>
    <n v="92"/>
    <n v="95"/>
    <x v="6"/>
  </r>
  <r>
    <n v="158"/>
    <d v="2011-01-07T00:00:00"/>
    <n v="1"/>
    <n v="0"/>
    <n v="1"/>
    <x v="20"/>
    <b v="0"/>
    <n v="5"/>
    <n v="1"/>
    <n v="0.18"/>
    <n v="0.21210000000000001"/>
    <n v="0.47"/>
    <n v="0.1045"/>
    <n v="1"/>
    <n v="50"/>
    <n v="51"/>
    <x v="6"/>
  </r>
  <r>
    <n v="159"/>
    <d v="2011-01-07T00:00:00"/>
    <n v="1"/>
    <n v="0"/>
    <n v="1"/>
    <x v="21"/>
    <b v="0"/>
    <n v="5"/>
    <n v="1"/>
    <n v="0.18"/>
    <n v="0.19700000000000001"/>
    <n v="0.47"/>
    <n v="0.1343"/>
    <n v="0"/>
    <n v="39"/>
    <n v="39"/>
    <x v="6"/>
  </r>
  <r>
    <n v="160"/>
    <d v="2011-01-07T00:00:00"/>
    <n v="1"/>
    <n v="0"/>
    <n v="1"/>
    <x v="22"/>
    <b v="0"/>
    <n v="5"/>
    <n v="2"/>
    <n v="0.18"/>
    <n v="0.19700000000000001"/>
    <n v="0.43"/>
    <n v="0.16420000000000001"/>
    <n v="2"/>
    <n v="34"/>
    <n v="36"/>
    <x v="6"/>
  </r>
  <r>
    <n v="161"/>
    <d v="2011-01-07T00:00:00"/>
    <n v="1"/>
    <n v="0"/>
    <n v="1"/>
    <x v="23"/>
    <b v="0"/>
    <n v="5"/>
    <n v="2"/>
    <n v="0.18"/>
    <n v="0.19700000000000001"/>
    <n v="0.51"/>
    <n v="0.16420000000000001"/>
    <n v="1"/>
    <n v="14"/>
    <n v="15"/>
    <x v="6"/>
  </r>
  <r>
    <n v="162"/>
    <d v="2011-01-08T00:00:00"/>
    <n v="1"/>
    <n v="0"/>
    <n v="1"/>
    <x v="0"/>
    <b v="0"/>
    <n v="6"/>
    <n v="2"/>
    <n v="0.18"/>
    <n v="0.19700000000000001"/>
    <n v="0.51"/>
    <n v="0.16420000000000001"/>
    <n v="1"/>
    <n v="24"/>
    <n v="25"/>
    <x v="0"/>
  </r>
  <r>
    <n v="163"/>
    <d v="2011-01-08T00:00:00"/>
    <n v="1"/>
    <n v="0"/>
    <n v="1"/>
    <x v="1"/>
    <b v="0"/>
    <n v="6"/>
    <n v="2"/>
    <n v="0.18"/>
    <n v="0.21210000000000001"/>
    <n v="0.55000000000000004"/>
    <n v="8.9599999999999999E-2"/>
    <n v="1"/>
    <n v="15"/>
    <n v="16"/>
    <x v="0"/>
  </r>
  <r>
    <n v="164"/>
    <d v="2011-01-08T00:00:00"/>
    <n v="1"/>
    <n v="0"/>
    <n v="1"/>
    <x v="2"/>
    <b v="0"/>
    <n v="6"/>
    <n v="2"/>
    <n v="0.18"/>
    <n v="0.2424"/>
    <n v="0.55000000000000004"/>
    <n v="0"/>
    <n v="3"/>
    <n v="13"/>
    <n v="16"/>
    <x v="0"/>
  </r>
  <r>
    <n v="165"/>
    <d v="2011-01-08T00:00:00"/>
    <n v="1"/>
    <n v="0"/>
    <n v="1"/>
    <x v="3"/>
    <b v="0"/>
    <n v="6"/>
    <n v="3"/>
    <n v="0.18"/>
    <n v="0.19700000000000001"/>
    <n v="0.55000000000000004"/>
    <n v="0.16420000000000001"/>
    <n v="0"/>
    <n v="7"/>
    <n v="7"/>
    <x v="0"/>
  </r>
  <r>
    <n v="166"/>
    <d v="2011-01-08T00:00:00"/>
    <n v="1"/>
    <n v="0"/>
    <n v="1"/>
    <x v="4"/>
    <b v="0"/>
    <n v="6"/>
    <n v="3"/>
    <n v="0.18"/>
    <n v="0.19700000000000001"/>
    <n v="0.55000000000000004"/>
    <n v="0.16420000000000001"/>
    <n v="0"/>
    <n v="1"/>
    <n v="1"/>
    <x v="0"/>
  </r>
  <r>
    <n v="167"/>
    <d v="2011-01-08T00:00:00"/>
    <n v="1"/>
    <n v="0"/>
    <n v="1"/>
    <x v="5"/>
    <b v="0"/>
    <n v="6"/>
    <n v="2"/>
    <n v="0.16"/>
    <n v="0.16669999999999999"/>
    <n v="0.74"/>
    <n v="0.16420000000000001"/>
    <n v="0"/>
    <n v="5"/>
    <n v="5"/>
    <x v="0"/>
  </r>
  <r>
    <n v="168"/>
    <d v="2011-01-08T00:00:00"/>
    <n v="1"/>
    <n v="0"/>
    <n v="1"/>
    <x v="6"/>
    <b v="0"/>
    <n v="6"/>
    <n v="2"/>
    <n v="0.16"/>
    <n v="0.16669999999999999"/>
    <n v="0.74"/>
    <n v="0.16420000000000001"/>
    <n v="0"/>
    <n v="2"/>
    <n v="2"/>
    <x v="0"/>
  </r>
  <r>
    <n v="169"/>
    <d v="2011-01-08T00:00:00"/>
    <n v="1"/>
    <n v="0"/>
    <n v="1"/>
    <x v="7"/>
    <b v="0"/>
    <n v="6"/>
    <n v="2"/>
    <n v="0.16"/>
    <n v="0.18179999999999999"/>
    <n v="0.74"/>
    <n v="0.1045"/>
    <n v="1"/>
    <n v="8"/>
    <n v="9"/>
    <x v="0"/>
  </r>
  <r>
    <n v="170"/>
    <d v="2011-01-08T00:00:00"/>
    <n v="1"/>
    <n v="0"/>
    <n v="1"/>
    <x v="8"/>
    <b v="0"/>
    <n v="6"/>
    <n v="3"/>
    <n v="0.16"/>
    <n v="0.18179999999999999"/>
    <n v="0.93"/>
    <n v="0.1045"/>
    <n v="0"/>
    <n v="15"/>
    <n v="15"/>
    <x v="0"/>
  </r>
  <r>
    <n v="171"/>
    <d v="2011-01-08T00:00:00"/>
    <n v="1"/>
    <n v="0"/>
    <n v="1"/>
    <x v="9"/>
    <b v="0"/>
    <n v="6"/>
    <n v="3"/>
    <n v="0.16"/>
    <n v="0.18179999999999999"/>
    <n v="0.93"/>
    <n v="0.1045"/>
    <n v="0"/>
    <n v="20"/>
    <n v="20"/>
    <x v="0"/>
  </r>
  <r>
    <n v="172"/>
    <d v="2011-01-08T00:00:00"/>
    <n v="1"/>
    <n v="0"/>
    <n v="1"/>
    <x v="10"/>
    <b v="0"/>
    <n v="6"/>
    <n v="2"/>
    <n v="0.18"/>
    <n v="0.19700000000000001"/>
    <n v="0.8"/>
    <n v="0.16420000000000001"/>
    <n v="5"/>
    <n v="56"/>
    <n v="61"/>
    <x v="0"/>
  </r>
  <r>
    <n v="173"/>
    <d v="2011-01-08T00:00:00"/>
    <n v="1"/>
    <n v="0"/>
    <n v="1"/>
    <x v="11"/>
    <b v="0"/>
    <n v="6"/>
    <n v="2"/>
    <n v="0.2"/>
    <n v="0.18179999999999999"/>
    <n v="0.69"/>
    <n v="0.3881"/>
    <n v="2"/>
    <n v="60"/>
    <n v="62"/>
    <x v="0"/>
  </r>
  <r>
    <n v="174"/>
    <d v="2011-01-08T00:00:00"/>
    <n v="1"/>
    <n v="0"/>
    <n v="1"/>
    <x v="12"/>
    <b v="0"/>
    <n v="6"/>
    <n v="2"/>
    <n v="0.2"/>
    <n v="0.18179999999999999"/>
    <n v="0.59"/>
    <n v="0.35820000000000002"/>
    <n v="8"/>
    <n v="90"/>
    <n v="98"/>
    <x v="0"/>
  </r>
  <r>
    <n v="175"/>
    <d v="2011-01-08T00:00:00"/>
    <n v="1"/>
    <n v="0"/>
    <n v="1"/>
    <x v="13"/>
    <b v="0"/>
    <n v="6"/>
    <n v="1"/>
    <n v="0.2"/>
    <n v="0.18179999999999999"/>
    <n v="0.44"/>
    <n v="0.32840000000000003"/>
    <n v="7"/>
    <n v="95"/>
    <n v="102"/>
    <x v="0"/>
  </r>
  <r>
    <n v="176"/>
    <d v="2011-01-08T00:00:00"/>
    <n v="1"/>
    <n v="0"/>
    <n v="1"/>
    <x v="14"/>
    <b v="0"/>
    <n v="6"/>
    <n v="1"/>
    <n v="0.2"/>
    <n v="0.16669999999999999"/>
    <n v="0.32"/>
    <n v="0.49249999999999999"/>
    <n v="12"/>
    <n v="83"/>
    <n v="95"/>
    <x v="0"/>
  </r>
  <r>
    <n v="177"/>
    <d v="2011-01-08T00:00:00"/>
    <n v="1"/>
    <n v="0"/>
    <n v="1"/>
    <x v="15"/>
    <b v="0"/>
    <n v="6"/>
    <n v="1"/>
    <n v="0.2"/>
    <n v="0.16669999999999999"/>
    <n v="0.32"/>
    <n v="0.44779999999999998"/>
    <n v="5"/>
    <n v="69"/>
    <n v="74"/>
    <x v="0"/>
  </r>
  <r>
    <n v="178"/>
    <d v="2011-01-08T00:00:00"/>
    <n v="1"/>
    <n v="0"/>
    <n v="1"/>
    <x v="16"/>
    <b v="0"/>
    <n v="6"/>
    <n v="1"/>
    <n v="0.18"/>
    <n v="0.13639999999999999"/>
    <n v="0.28999999999999998"/>
    <n v="0.44779999999999998"/>
    <n v="8"/>
    <n v="68"/>
    <n v="76"/>
    <x v="0"/>
  </r>
  <r>
    <n v="179"/>
    <d v="2011-01-08T00:00:00"/>
    <n v="1"/>
    <n v="0"/>
    <n v="1"/>
    <x v="17"/>
    <b v="0"/>
    <n v="6"/>
    <n v="1"/>
    <n v="0.16"/>
    <n v="0.1212"/>
    <n v="0.37"/>
    <n v="0.55220000000000002"/>
    <n v="5"/>
    <n v="64"/>
    <n v="69"/>
    <x v="0"/>
  </r>
  <r>
    <n v="180"/>
    <d v="2011-01-08T00:00:00"/>
    <n v="1"/>
    <n v="0"/>
    <n v="1"/>
    <x v="18"/>
    <b v="0"/>
    <n v="6"/>
    <n v="1"/>
    <n v="0.14000000000000001"/>
    <n v="0.1212"/>
    <n v="0.39"/>
    <n v="0.29849999999999999"/>
    <n v="3"/>
    <n v="52"/>
    <n v="55"/>
    <x v="0"/>
  </r>
  <r>
    <n v="181"/>
    <d v="2011-01-08T00:00:00"/>
    <n v="1"/>
    <n v="0"/>
    <n v="1"/>
    <x v="19"/>
    <b v="0"/>
    <n v="6"/>
    <n v="1"/>
    <n v="0.14000000000000001"/>
    <n v="0.1212"/>
    <n v="0.36"/>
    <n v="0.25369999999999998"/>
    <n v="4"/>
    <n v="26"/>
    <n v="30"/>
    <x v="0"/>
  </r>
  <r>
    <n v="182"/>
    <d v="2011-01-08T00:00:00"/>
    <n v="1"/>
    <n v="0"/>
    <n v="1"/>
    <x v="20"/>
    <b v="0"/>
    <n v="6"/>
    <n v="1"/>
    <n v="0.12"/>
    <n v="0.1212"/>
    <n v="0.36"/>
    <n v="0.25369999999999998"/>
    <n v="0"/>
    <n v="28"/>
    <n v="28"/>
    <x v="0"/>
  </r>
  <r>
    <n v="183"/>
    <d v="2011-01-08T00:00:00"/>
    <n v="1"/>
    <n v="0"/>
    <n v="1"/>
    <x v="21"/>
    <b v="0"/>
    <n v="6"/>
    <n v="1"/>
    <n v="0.12"/>
    <n v="0.1061"/>
    <n v="0.39"/>
    <n v="0.35820000000000002"/>
    <n v="2"/>
    <n v="35"/>
    <n v="37"/>
    <x v="0"/>
  </r>
  <r>
    <n v="184"/>
    <d v="2011-01-08T00:00:00"/>
    <n v="1"/>
    <n v="0"/>
    <n v="1"/>
    <x v="22"/>
    <b v="0"/>
    <n v="6"/>
    <n v="1"/>
    <n v="0.12"/>
    <n v="0.1061"/>
    <n v="0.36"/>
    <n v="0.3881"/>
    <n v="1"/>
    <n v="33"/>
    <n v="34"/>
    <x v="0"/>
  </r>
  <r>
    <n v="185"/>
    <d v="2011-01-08T00:00:00"/>
    <n v="1"/>
    <n v="0"/>
    <n v="1"/>
    <x v="23"/>
    <b v="0"/>
    <n v="6"/>
    <n v="1"/>
    <n v="0.1"/>
    <n v="6.0600000000000001E-2"/>
    <n v="0.39"/>
    <n v="0.44779999999999998"/>
    <n v="0"/>
    <n v="22"/>
    <n v="22"/>
    <x v="0"/>
  </r>
  <r>
    <n v="186"/>
    <d v="2011-01-09T00:00:00"/>
    <n v="1"/>
    <n v="0"/>
    <n v="1"/>
    <x v="0"/>
    <b v="0"/>
    <n v="0"/>
    <n v="1"/>
    <n v="0.1"/>
    <n v="7.5800000000000006E-2"/>
    <n v="0.42"/>
    <n v="0.3881"/>
    <n v="1"/>
    <n v="24"/>
    <n v="25"/>
    <x v="1"/>
  </r>
  <r>
    <n v="187"/>
    <d v="2011-01-09T00:00:00"/>
    <n v="1"/>
    <n v="0"/>
    <n v="1"/>
    <x v="1"/>
    <b v="0"/>
    <n v="0"/>
    <n v="1"/>
    <n v="0.1"/>
    <n v="6.0600000000000001E-2"/>
    <n v="0.42"/>
    <n v="0.4627"/>
    <n v="0"/>
    <n v="12"/>
    <n v="12"/>
    <x v="1"/>
  </r>
  <r>
    <n v="188"/>
    <d v="2011-01-09T00:00:00"/>
    <n v="1"/>
    <n v="0"/>
    <n v="1"/>
    <x v="2"/>
    <b v="0"/>
    <n v="0"/>
    <n v="1"/>
    <n v="0.1"/>
    <n v="6.0600000000000001E-2"/>
    <n v="0.46"/>
    <n v="0.4627"/>
    <n v="0"/>
    <n v="11"/>
    <n v="11"/>
    <x v="1"/>
  </r>
  <r>
    <n v="189"/>
    <d v="2011-01-09T00:00:00"/>
    <n v="1"/>
    <n v="0"/>
    <n v="1"/>
    <x v="3"/>
    <b v="0"/>
    <n v="0"/>
    <n v="1"/>
    <n v="0.1"/>
    <n v="7.5800000000000006E-2"/>
    <n v="0.46"/>
    <n v="0.41789999999999999"/>
    <n v="0"/>
    <n v="4"/>
    <n v="4"/>
    <x v="1"/>
  </r>
  <r>
    <n v="190"/>
    <d v="2011-01-09T00:00:00"/>
    <n v="1"/>
    <n v="0"/>
    <n v="1"/>
    <x v="4"/>
    <b v="0"/>
    <n v="0"/>
    <n v="1"/>
    <n v="0.08"/>
    <n v="9.0899999999999995E-2"/>
    <n v="0.53"/>
    <n v="0.19400000000000001"/>
    <n v="0"/>
    <n v="1"/>
    <n v="1"/>
    <x v="1"/>
  </r>
  <r>
    <n v="191"/>
    <d v="2011-01-09T00:00:00"/>
    <n v="1"/>
    <n v="0"/>
    <n v="1"/>
    <x v="5"/>
    <b v="0"/>
    <n v="0"/>
    <n v="1"/>
    <n v="0.08"/>
    <n v="9.0899999999999995E-2"/>
    <n v="0.53"/>
    <n v="0.19400000000000001"/>
    <n v="0"/>
    <n v="1"/>
    <n v="1"/>
    <x v="1"/>
  </r>
  <r>
    <n v="192"/>
    <d v="2011-01-09T00:00:00"/>
    <n v="1"/>
    <n v="0"/>
    <n v="1"/>
    <x v="6"/>
    <b v="0"/>
    <n v="0"/>
    <n v="1"/>
    <n v="0.1"/>
    <n v="9.0899999999999995E-2"/>
    <n v="0.49"/>
    <n v="0.28360000000000002"/>
    <n v="0"/>
    <n v="1"/>
    <n v="1"/>
    <x v="1"/>
  </r>
  <r>
    <n v="193"/>
    <d v="2011-01-09T00:00:00"/>
    <n v="1"/>
    <n v="0"/>
    <n v="1"/>
    <x v="7"/>
    <b v="0"/>
    <n v="0"/>
    <n v="1"/>
    <n v="0.08"/>
    <n v="9.0899999999999995E-2"/>
    <n v="0.53"/>
    <n v="0.19400000000000001"/>
    <n v="1"/>
    <n v="5"/>
    <n v="6"/>
    <x v="1"/>
  </r>
  <r>
    <n v="194"/>
    <d v="2011-01-09T00:00:00"/>
    <n v="1"/>
    <n v="0"/>
    <n v="1"/>
    <x v="8"/>
    <b v="0"/>
    <n v="0"/>
    <n v="1"/>
    <n v="0.1"/>
    <n v="9.0899999999999995E-2"/>
    <n v="0.49"/>
    <n v="0.28360000000000002"/>
    <n v="0"/>
    <n v="10"/>
    <n v="10"/>
    <x v="1"/>
  </r>
  <r>
    <n v="195"/>
    <d v="2011-01-09T00:00:00"/>
    <n v="1"/>
    <n v="0"/>
    <n v="1"/>
    <x v="9"/>
    <b v="0"/>
    <n v="0"/>
    <n v="1"/>
    <n v="0.12"/>
    <n v="7.5800000000000006E-2"/>
    <n v="0.46"/>
    <n v="0.52239999999999998"/>
    <n v="0"/>
    <n v="19"/>
    <n v="19"/>
    <x v="1"/>
  </r>
  <r>
    <n v="196"/>
    <d v="2011-01-09T00:00:00"/>
    <n v="1"/>
    <n v="0"/>
    <n v="1"/>
    <x v="10"/>
    <b v="0"/>
    <n v="0"/>
    <n v="1"/>
    <n v="0.14000000000000001"/>
    <n v="0.1061"/>
    <n v="0.43"/>
    <n v="0.3881"/>
    <n v="0"/>
    <n v="49"/>
    <n v="49"/>
    <x v="1"/>
  </r>
  <r>
    <n v="197"/>
    <d v="2011-01-09T00:00:00"/>
    <n v="1"/>
    <n v="0"/>
    <n v="1"/>
    <x v="11"/>
    <b v="0"/>
    <n v="0"/>
    <n v="1"/>
    <n v="0.16"/>
    <n v="0.1212"/>
    <n v="0.4"/>
    <n v="0.52239999999999998"/>
    <n v="2"/>
    <n v="47"/>
    <n v="49"/>
    <x v="1"/>
  </r>
  <r>
    <n v="198"/>
    <d v="2011-01-09T00:00:00"/>
    <n v="1"/>
    <n v="0"/>
    <n v="1"/>
    <x v="12"/>
    <b v="0"/>
    <n v="0"/>
    <n v="1"/>
    <n v="0.18"/>
    <n v="0.13639999999999999"/>
    <n v="0.37"/>
    <n v="0.44779999999999998"/>
    <n v="4"/>
    <n v="79"/>
    <n v="83"/>
    <x v="1"/>
  </r>
  <r>
    <n v="199"/>
    <d v="2011-01-09T00:00:00"/>
    <n v="1"/>
    <n v="0"/>
    <n v="1"/>
    <x v="13"/>
    <b v="0"/>
    <n v="0"/>
    <n v="1"/>
    <n v="0.2"/>
    <n v="0.16669999999999999"/>
    <n v="0.34"/>
    <n v="0.44779999999999998"/>
    <n v="6"/>
    <n v="69"/>
    <n v="75"/>
    <x v="1"/>
  </r>
  <r>
    <n v="200"/>
    <d v="2011-01-09T00:00:00"/>
    <n v="1"/>
    <n v="0"/>
    <n v="1"/>
    <x v="14"/>
    <b v="0"/>
    <n v="0"/>
    <n v="1"/>
    <n v="0.22"/>
    <n v="0.18179999999999999"/>
    <n v="0.32"/>
    <n v="0.4627"/>
    <n v="8"/>
    <n v="64"/>
    <n v="72"/>
    <x v="1"/>
  </r>
  <r>
    <n v="201"/>
    <d v="2011-01-09T00:00:00"/>
    <n v="1"/>
    <n v="0"/>
    <n v="1"/>
    <x v="15"/>
    <b v="0"/>
    <n v="0"/>
    <n v="1"/>
    <n v="0.22"/>
    <n v="0.19700000000000001"/>
    <n v="0.35"/>
    <n v="0.35820000000000002"/>
    <n v="5"/>
    <n v="77"/>
    <n v="82"/>
    <x v="1"/>
  </r>
  <r>
    <n v="202"/>
    <d v="2011-01-09T00:00:00"/>
    <n v="1"/>
    <n v="0"/>
    <n v="1"/>
    <x v="16"/>
    <b v="0"/>
    <n v="0"/>
    <n v="1"/>
    <n v="0.2"/>
    <n v="0.16669999999999999"/>
    <n v="0.34"/>
    <n v="0.44779999999999998"/>
    <n v="13"/>
    <n v="79"/>
    <n v="92"/>
    <x v="1"/>
  </r>
  <r>
    <n v="203"/>
    <d v="2011-01-09T00:00:00"/>
    <n v="1"/>
    <n v="0"/>
    <n v="1"/>
    <x v="17"/>
    <b v="0"/>
    <n v="0"/>
    <n v="1"/>
    <n v="0.18"/>
    <n v="0.1515"/>
    <n v="0.37"/>
    <n v="0.3881"/>
    <n v="3"/>
    <n v="59"/>
    <n v="62"/>
    <x v="1"/>
  </r>
  <r>
    <n v="204"/>
    <d v="2011-01-09T00:00:00"/>
    <n v="1"/>
    <n v="0"/>
    <n v="1"/>
    <x v="18"/>
    <b v="0"/>
    <n v="0"/>
    <n v="1"/>
    <n v="0.16"/>
    <n v="0.13639999999999999"/>
    <n v="0.4"/>
    <n v="0.32840000000000003"/>
    <n v="4"/>
    <n v="44"/>
    <n v="48"/>
    <x v="1"/>
  </r>
  <r>
    <n v="205"/>
    <d v="2011-01-09T00:00:00"/>
    <n v="1"/>
    <n v="0"/>
    <n v="1"/>
    <x v="19"/>
    <b v="0"/>
    <n v="0"/>
    <n v="1"/>
    <n v="0.16"/>
    <n v="0.13639999999999999"/>
    <n v="0.43"/>
    <n v="0.32840000000000003"/>
    <n v="1"/>
    <n v="40"/>
    <n v="41"/>
    <x v="1"/>
  </r>
  <r>
    <n v="206"/>
    <d v="2011-01-09T00:00:00"/>
    <n v="1"/>
    <n v="0"/>
    <n v="1"/>
    <x v="20"/>
    <b v="0"/>
    <n v="0"/>
    <n v="1"/>
    <n v="0.14000000000000001"/>
    <n v="0.1212"/>
    <n v="0.46"/>
    <n v="0.25369999999999998"/>
    <n v="0"/>
    <n v="38"/>
    <n v="38"/>
    <x v="1"/>
  </r>
  <r>
    <n v="207"/>
    <d v="2011-01-09T00:00:00"/>
    <n v="1"/>
    <n v="0"/>
    <n v="1"/>
    <x v="21"/>
    <b v="0"/>
    <n v="0"/>
    <n v="1"/>
    <n v="0.14000000000000001"/>
    <n v="0.1061"/>
    <n v="0.46"/>
    <n v="0.41789999999999999"/>
    <n v="1"/>
    <n v="19"/>
    <n v="20"/>
    <x v="1"/>
  </r>
  <r>
    <n v="208"/>
    <d v="2011-01-09T00:00:00"/>
    <n v="1"/>
    <n v="0"/>
    <n v="1"/>
    <x v="22"/>
    <b v="0"/>
    <n v="0"/>
    <n v="1"/>
    <n v="0.14000000000000001"/>
    <n v="0.1212"/>
    <n v="0.46"/>
    <n v="0.29849999999999999"/>
    <n v="5"/>
    <n v="10"/>
    <n v="15"/>
    <x v="1"/>
  </r>
  <r>
    <n v="209"/>
    <d v="2011-01-09T00:00:00"/>
    <n v="1"/>
    <n v="0"/>
    <n v="1"/>
    <x v="23"/>
    <b v="0"/>
    <n v="0"/>
    <n v="1"/>
    <n v="0.12"/>
    <n v="0.13639999999999999"/>
    <n v="0.5"/>
    <n v="0.19400000000000001"/>
    <n v="0"/>
    <n v="6"/>
    <n v="6"/>
    <x v="1"/>
  </r>
  <r>
    <n v="210"/>
    <d v="2011-01-10T00:00:00"/>
    <n v="1"/>
    <n v="0"/>
    <n v="1"/>
    <x v="0"/>
    <b v="0"/>
    <n v="1"/>
    <n v="1"/>
    <n v="0.12"/>
    <n v="0.1212"/>
    <n v="0.5"/>
    <n v="0.28360000000000002"/>
    <n v="2"/>
    <n v="3"/>
    <n v="5"/>
    <x v="2"/>
  </r>
  <r>
    <n v="211"/>
    <d v="2011-01-10T00:00:00"/>
    <n v="1"/>
    <n v="0"/>
    <n v="1"/>
    <x v="1"/>
    <b v="0"/>
    <n v="1"/>
    <n v="1"/>
    <n v="0.12"/>
    <n v="0.1212"/>
    <n v="0.5"/>
    <n v="0.28360000000000002"/>
    <n v="1"/>
    <n v="0"/>
    <n v="1"/>
    <x v="2"/>
  </r>
  <r>
    <n v="212"/>
    <d v="2011-01-10T00:00:00"/>
    <n v="1"/>
    <n v="0"/>
    <n v="1"/>
    <x v="2"/>
    <b v="0"/>
    <n v="1"/>
    <n v="1"/>
    <n v="0.12"/>
    <n v="0.1212"/>
    <n v="0.5"/>
    <n v="0.22389999999999999"/>
    <n v="0"/>
    <n v="3"/>
    <n v="3"/>
    <x v="2"/>
  </r>
  <r>
    <n v="213"/>
    <d v="2011-01-10T00:00:00"/>
    <n v="1"/>
    <n v="0"/>
    <n v="1"/>
    <x v="3"/>
    <b v="0"/>
    <n v="1"/>
    <n v="1"/>
    <n v="0.12"/>
    <n v="0.1212"/>
    <n v="0.5"/>
    <n v="0.22389999999999999"/>
    <n v="0"/>
    <n v="1"/>
    <n v="1"/>
    <x v="2"/>
  </r>
  <r>
    <n v="214"/>
    <d v="2011-01-10T00:00:00"/>
    <n v="1"/>
    <n v="0"/>
    <n v="1"/>
    <x v="4"/>
    <b v="0"/>
    <n v="1"/>
    <n v="1"/>
    <n v="0.1"/>
    <n v="0.1212"/>
    <n v="0.54"/>
    <n v="0.1343"/>
    <n v="1"/>
    <n v="2"/>
    <n v="3"/>
    <x v="2"/>
  </r>
  <r>
    <n v="215"/>
    <d v="2011-01-10T00:00:00"/>
    <n v="1"/>
    <n v="0"/>
    <n v="1"/>
    <x v="5"/>
    <b v="0"/>
    <n v="1"/>
    <n v="1"/>
    <n v="0.1"/>
    <n v="0.1061"/>
    <n v="0.54"/>
    <n v="0.25369999999999998"/>
    <n v="0"/>
    <n v="3"/>
    <n v="3"/>
    <x v="2"/>
  </r>
  <r>
    <n v="216"/>
    <d v="2011-01-10T00:00:00"/>
    <n v="1"/>
    <n v="0"/>
    <n v="1"/>
    <x v="6"/>
    <b v="0"/>
    <n v="1"/>
    <n v="1"/>
    <n v="0.12"/>
    <n v="0.1212"/>
    <n v="0.5"/>
    <n v="0.28360000000000002"/>
    <n v="0"/>
    <n v="31"/>
    <n v="31"/>
    <x v="2"/>
  </r>
  <r>
    <n v="217"/>
    <d v="2011-01-10T00:00:00"/>
    <n v="1"/>
    <n v="0"/>
    <n v="1"/>
    <x v="7"/>
    <b v="0"/>
    <n v="1"/>
    <n v="1"/>
    <n v="0.12"/>
    <n v="0.1212"/>
    <n v="0.5"/>
    <n v="0.22389999999999999"/>
    <n v="2"/>
    <n v="75"/>
    <n v="77"/>
    <x v="2"/>
  </r>
  <r>
    <n v="218"/>
    <d v="2011-01-10T00:00:00"/>
    <n v="1"/>
    <n v="0"/>
    <n v="1"/>
    <x v="8"/>
    <b v="0"/>
    <n v="1"/>
    <n v="2"/>
    <n v="0.12"/>
    <n v="0.1212"/>
    <n v="0.5"/>
    <n v="0.28360000000000002"/>
    <n v="4"/>
    <n v="184"/>
    <n v="188"/>
    <x v="2"/>
  </r>
  <r>
    <n v="219"/>
    <d v="2011-01-10T00:00:00"/>
    <n v="1"/>
    <n v="0"/>
    <n v="1"/>
    <x v="9"/>
    <b v="0"/>
    <n v="1"/>
    <n v="2"/>
    <n v="0.14000000000000001"/>
    <n v="0.1212"/>
    <n v="0.5"/>
    <n v="0.25369999999999998"/>
    <n v="2"/>
    <n v="92"/>
    <n v="94"/>
    <x v="2"/>
  </r>
  <r>
    <n v="220"/>
    <d v="2011-01-10T00:00:00"/>
    <n v="1"/>
    <n v="0"/>
    <n v="1"/>
    <x v="10"/>
    <b v="0"/>
    <n v="1"/>
    <n v="2"/>
    <n v="0.14000000000000001"/>
    <n v="0.1212"/>
    <n v="0.5"/>
    <n v="0.29849999999999999"/>
    <n v="0"/>
    <n v="31"/>
    <n v="31"/>
    <x v="2"/>
  </r>
  <r>
    <n v="221"/>
    <d v="2011-01-10T00:00:00"/>
    <n v="1"/>
    <n v="0"/>
    <n v="1"/>
    <x v="11"/>
    <b v="0"/>
    <n v="1"/>
    <n v="2"/>
    <n v="0.16"/>
    <n v="0.13639999999999999"/>
    <n v="0.47"/>
    <n v="0.28360000000000002"/>
    <n v="2"/>
    <n v="28"/>
    <n v="30"/>
    <x v="2"/>
  </r>
  <r>
    <n v="222"/>
    <d v="2011-01-10T00:00:00"/>
    <n v="1"/>
    <n v="0"/>
    <n v="1"/>
    <x v="12"/>
    <b v="0"/>
    <n v="1"/>
    <n v="2"/>
    <n v="0.2"/>
    <n v="0.18179999999999999"/>
    <n v="0.4"/>
    <n v="0.28360000000000002"/>
    <n v="5"/>
    <n v="47"/>
    <n v="52"/>
    <x v="2"/>
  </r>
  <r>
    <n v="223"/>
    <d v="2011-01-10T00:00:00"/>
    <n v="1"/>
    <n v="0"/>
    <n v="1"/>
    <x v="13"/>
    <b v="0"/>
    <n v="1"/>
    <n v="2"/>
    <n v="0.2"/>
    <n v="0.18179999999999999"/>
    <n v="0.4"/>
    <n v="0.28360000000000002"/>
    <n v="4"/>
    <n v="50"/>
    <n v="54"/>
    <x v="2"/>
  </r>
  <r>
    <n v="224"/>
    <d v="2011-01-10T00:00:00"/>
    <n v="1"/>
    <n v="0"/>
    <n v="1"/>
    <x v="14"/>
    <b v="0"/>
    <n v="1"/>
    <n v="2"/>
    <n v="0.2"/>
    <n v="0.19700000000000001"/>
    <n v="0.4"/>
    <n v="0.22389999999999999"/>
    <n v="0"/>
    <n v="47"/>
    <n v="47"/>
    <x v="2"/>
  </r>
  <r>
    <n v="225"/>
    <d v="2011-01-10T00:00:00"/>
    <n v="1"/>
    <n v="0"/>
    <n v="1"/>
    <x v="15"/>
    <b v="0"/>
    <n v="1"/>
    <n v="2"/>
    <n v="0.2"/>
    <n v="0.19700000000000001"/>
    <n v="0.4"/>
    <n v="0.22389999999999999"/>
    <n v="2"/>
    <n v="43"/>
    <n v="45"/>
    <x v="2"/>
  </r>
  <r>
    <n v="226"/>
    <d v="2011-01-10T00:00:00"/>
    <n v="1"/>
    <n v="0"/>
    <n v="1"/>
    <x v="16"/>
    <b v="0"/>
    <n v="1"/>
    <n v="1"/>
    <n v="0.2"/>
    <n v="0.21210000000000001"/>
    <n v="0.4"/>
    <n v="0.1343"/>
    <n v="4"/>
    <n v="70"/>
    <n v="74"/>
    <x v="2"/>
  </r>
  <r>
    <n v="227"/>
    <d v="2011-01-10T00:00:00"/>
    <n v="1"/>
    <n v="0"/>
    <n v="1"/>
    <x v="17"/>
    <b v="0"/>
    <n v="1"/>
    <n v="1"/>
    <n v="0.2"/>
    <n v="0.2273"/>
    <n v="0.4"/>
    <n v="0.1045"/>
    <n v="4"/>
    <n v="174"/>
    <n v="178"/>
    <x v="2"/>
  </r>
  <r>
    <n v="228"/>
    <d v="2011-01-10T00:00:00"/>
    <n v="1"/>
    <n v="0"/>
    <n v="1"/>
    <x v="18"/>
    <b v="0"/>
    <n v="1"/>
    <n v="1"/>
    <n v="0.2"/>
    <n v="0.19700000000000001"/>
    <n v="0.4"/>
    <n v="0.22389999999999999"/>
    <n v="1"/>
    <n v="154"/>
    <n v="155"/>
    <x v="2"/>
  </r>
  <r>
    <n v="229"/>
    <d v="2011-01-10T00:00:00"/>
    <n v="1"/>
    <n v="0"/>
    <n v="1"/>
    <x v="19"/>
    <b v="0"/>
    <n v="1"/>
    <n v="1"/>
    <n v="0.16"/>
    <n v="0.16669999999999999"/>
    <n v="0.47"/>
    <n v="0.16420000000000001"/>
    <n v="3"/>
    <n v="92"/>
    <n v="95"/>
    <x v="2"/>
  </r>
  <r>
    <n v="230"/>
    <d v="2011-01-10T00:00:00"/>
    <n v="1"/>
    <n v="0"/>
    <n v="1"/>
    <x v="20"/>
    <b v="0"/>
    <n v="1"/>
    <n v="1"/>
    <n v="0.16"/>
    <n v="0.16669999999999999"/>
    <n v="0.5"/>
    <n v="0.16420000000000001"/>
    <n v="1"/>
    <n v="73"/>
    <n v="74"/>
    <x v="2"/>
  </r>
  <r>
    <n v="231"/>
    <d v="2011-01-10T00:00:00"/>
    <n v="1"/>
    <n v="0"/>
    <n v="1"/>
    <x v="21"/>
    <b v="0"/>
    <n v="1"/>
    <n v="1"/>
    <n v="0.14000000000000001"/>
    <n v="0.13639999999999999"/>
    <n v="0.59"/>
    <n v="0.19400000000000001"/>
    <n v="1"/>
    <n v="37"/>
    <n v="38"/>
    <x v="2"/>
  </r>
  <r>
    <n v="232"/>
    <d v="2011-01-10T00:00:00"/>
    <n v="1"/>
    <n v="0"/>
    <n v="1"/>
    <x v="22"/>
    <b v="0"/>
    <n v="1"/>
    <n v="1"/>
    <n v="0.14000000000000001"/>
    <n v="0.1515"/>
    <n v="0.59"/>
    <n v="0.16420000000000001"/>
    <n v="2"/>
    <n v="22"/>
    <n v="24"/>
    <x v="2"/>
  </r>
  <r>
    <n v="233"/>
    <d v="2011-01-10T00:00:00"/>
    <n v="1"/>
    <n v="0"/>
    <n v="1"/>
    <x v="23"/>
    <b v="0"/>
    <n v="1"/>
    <n v="1"/>
    <n v="0.14000000000000001"/>
    <n v="0.1515"/>
    <n v="0.59"/>
    <n v="0.16420000000000001"/>
    <n v="0"/>
    <n v="18"/>
    <n v="18"/>
    <x v="2"/>
  </r>
  <r>
    <n v="234"/>
    <d v="2011-01-11T00:00:00"/>
    <n v="1"/>
    <n v="0"/>
    <n v="1"/>
    <x v="0"/>
    <b v="0"/>
    <n v="2"/>
    <n v="1"/>
    <n v="0.14000000000000001"/>
    <n v="0.16669999999999999"/>
    <n v="0.59"/>
    <n v="0.1045"/>
    <n v="2"/>
    <n v="10"/>
    <n v="12"/>
    <x v="3"/>
  </r>
  <r>
    <n v="235"/>
    <d v="2011-01-11T00:00:00"/>
    <n v="1"/>
    <n v="0"/>
    <n v="1"/>
    <x v="1"/>
    <b v="0"/>
    <n v="2"/>
    <n v="1"/>
    <n v="0.14000000000000001"/>
    <n v="0.1515"/>
    <n v="0.59"/>
    <n v="0.16420000000000001"/>
    <n v="0"/>
    <n v="3"/>
    <n v="3"/>
    <x v="3"/>
  </r>
  <r>
    <n v="236"/>
    <d v="2011-01-11T00:00:00"/>
    <n v="1"/>
    <n v="0"/>
    <n v="1"/>
    <x v="2"/>
    <b v="0"/>
    <n v="2"/>
    <n v="2"/>
    <n v="0.16"/>
    <n v="0.1515"/>
    <n v="0.55000000000000004"/>
    <n v="0.19400000000000001"/>
    <n v="0"/>
    <n v="3"/>
    <n v="3"/>
    <x v="3"/>
  </r>
  <r>
    <n v="237"/>
    <d v="2011-01-11T00:00:00"/>
    <n v="1"/>
    <n v="0"/>
    <n v="1"/>
    <x v="5"/>
    <b v="0"/>
    <n v="2"/>
    <n v="2"/>
    <n v="0.16"/>
    <n v="0.18179999999999999"/>
    <n v="0.55000000000000004"/>
    <n v="0.1343"/>
    <n v="0"/>
    <n v="6"/>
    <n v="6"/>
    <x v="3"/>
  </r>
  <r>
    <n v="238"/>
    <d v="2011-01-11T00:00:00"/>
    <n v="1"/>
    <n v="0"/>
    <n v="1"/>
    <x v="6"/>
    <b v="0"/>
    <n v="2"/>
    <n v="2"/>
    <n v="0.16"/>
    <n v="0.18179999999999999"/>
    <n v="0.55000000000000004"/>
    <n v="0.1343"/>
    <n v="0"/>
    <n v="27"/>
    <n v="27"/>
    <x v="3"/>
  </r>
  <r>
    <n v="239"/>
    <d v="2011-01-11T00:00:00"/>
    <n v="1"/>
    <n v="0"/>
    <n v="1"/>
    <x v="7"/>
    <b v="0"/>
    <n v="2"/>
    <n v="2"/>
    <n v="0.16"/>
    <n v="0.2273"/>
    <n v="0.55000000000000004"/>
    <n v="0"/>
    <n v="2"/>
    <n v="97"/>
    <n v="99"/>
    <x v="3"/>
  </r>
  <r>
    <n v="240"/>
    <d v="2011-01-11T00:00:00"/>
    <n v="1"/>
    <n v="0"/>
    <n v="1"/>
    <x v="8"/>
    <b v="0"/>
    <n v="2"/>
    <n v="2"/>
    <n v="0.18"/>
    <n v="0.21210000000000001"/>
    <n v="0.51"/>
    <n v="8.9599999999999999E-2"/>
    <n v="3"/>
    <n v="214"/>
    <n v="217"/>
    <x v="3"/>
  </r>
  <r>
    <n v="241"/>
    <d v="2011-01-11T00:00:00"/>
    <n v="1"/>
    <n v="0"/>
    <n v="1"/>
    <x v="9"/>
    <b v="0"/>
    <n v="2"/>
    <n v="2"/>
    <n v="0.18"/>
    <n v="0.19700000000000001"/>
    <n v="0.51"/>
    <n v="0.16420000000000001"/>
    <n v="3"/>
    <n v="127"/>
    <n v="130"/>
    <x v="3"/>
  </r>
  <r>
    <n v="242"/>
    <d v="2011-01-11T00:00:00"/>
    <n v="1"/>
    <n v="0"/>
    <n v="1"/>
    <x v="10"/>
    <b v="0"/>
    <n v="2"/>
    <n v="2"/>
    <n v="0.2"/>
    <n v="0.21210000000000001"/>
    <n v="0.51"/>
    <n v="0.16420000000000001"/>
    <n v="3"/>
    <n v="51"/>
    <n v="54"/>
    <x v="3"/>
  </r>
  <r>
    <n v="243"/>
    <d v="2011-01-11T00:00:00"/>
    <n v="1"/>
    <n v="0"/>
    <n v="1"/>
    <x v="11"/>
    <b v="0"/>
    <n v="2"/>
    <n v="2"/>
    <n v="0.2"/>
    <n v="0.21210000000000001"/>
    <n v="0.47"/>
    <n v="0.1343"/>
    <n v="4"/>
    <n v="31"/>
    <n v="35"/>
    <x v="3"/>
  </r>
  <r>
    <n v="244"/>
    <d v="2011-01-11T00:00:00"/>
    <n v="1"/>
    <n v="0"/>
    <n v="1"/>
    <x v="12"/>
    <b v="0"/>
    <n v="2"/>
    <n v="2"/>
    <n v="0.2"/>
    <n v="0.2273"/>
    <n v="0.51"/>
    <n v="0.1045"/>
    <n v="2"/>
    <n v="55"/>
    <n v="57"/>
    <x v="3"/>
  </r>
  <r>
    <n v="245"/>
    <d v="2011-01-11T00:00:00"/>
    <n v="1"/>
    <n v="0"/>
    <n v="1"/>
    <x v="13"/>
    <b v="0"/>
    <n v="2"/>
    <n v="2"/>
    <n v="0.2"/>
    <n v="0.2273"/>
    <n v="0.59"/>
    <n v="8.9599999999999999E-2"/>
    <n v="6"/>
    <n v="46"/>
    <n v="52"/>
    <x v="3"/>
  </r>
  <r>
    <n v="246"/>
    <d v="2011-01-11T00:00:00"/>
    <n v="1"/>
    <n v="0"/>
    <n v="1"/>
    <x v="14"/>
    <b v="0"/>
    <n v="2"/>
    <n v="2"/>
    <n v="0.2"/>
    <n v="0.2273"/>
    <n v="0.59"/>
    <n v="8.9599999999999999E-2"/>
    <n v="3"/>
    <n v="60"/>
    <n v="63"/>
    <x v="3"/>
  </r>
  <r>
    <n v="247"/>
    <d v="2011-01-11T00:00:00"/>
    <n v="1"/>
    <n v="0"/>
    <n v="1"/>
    <x v="15"/>
    <b v="0"/>
    <n v="2"/>
    <n v="2"/>
    <n v="0.16"/>
    <n v="0.19700000000000001"/>
    <n v="0.8"/>
    <n v="8.9599999999999999E-2"/>
    <n v="2"/>
    <n v="45"/>
    <n v="47"/>
    <x v="3"/>
  </r>
  <r>
    <n v="248"/>
    <d v="2011-01-11T00:00:00"/>
    <n v="1"/>
    <n v="0"/>
    <n v="1"/>
    <x v="16"/>
    <b v="0"/>
    <n v="2"/>
    <n v="2"/>
    <n v="0.16"/>
    <n v="0.1515"/>
    <n v="0.86"/>
    <n v="0.22389999999999999"/>
    <n v="4"/>
    <n v="72"/>
    <n v="76"/>
    <x v="3"/>
  </r>
  <r>
    <n v="249"/>
    <d v="2011-01-11T00:00:00"/>
    <n v="1"/>
    <n v="0"/>
    <n v="1"/>
    <x v="17"/>
    <b v="0"/>
    <n v="2"/>
    <n v="2"/>
    <n v="0.16"/>
    <n v="0.1515"/>
    <n v="0.86"/>
    <n v="0.22389999999999999"/>
    <n v="6"/>
    <n v="130"/>
    <n v="136"/>
    <x v="3"/>
  </r>
  <r>
    <n v="250"/>
    <d v="2011-01-11T00:00:00"/>
    <n v="1"/>
    <n v="0"/>
    <n v="1"/>
    <x v="18"/>
    <b v="0"/>
    <n v="2"/>
    <n v="3"/>
    <n v="0.16"/>
    <n v="0.18179999999999999"/>
    <n v="0.93"/>
    <n v="0.1045"/>
    <n v="1"/>
    <n v="94"/>
    <n v="95"/>
    <x v="3"/>
  </r>
  <r>
    <n v="251"/>
    <d v="2011-01-11T00:00:00"/>
    <n v="1"/>
    <n v="0"/>
    <n v="1"/>
    <x v="19"/>
    <b v="0"/>
    <n v="2"/>
    <n v="3"/>
    <n v="0.16"/>
    <n v="0.2273"/>
    <n v="0.93"/>
    <n v="0"/>
    <n v="0"/>
    <n v="51"/>
    <n v="51"/>
    <x v="3"/>
  </r>
  <r>
    <n v="252"/>
    <d v="2011-01-11T00:00:00"/>
    <n v="1"/>
    <n v="0"/>
    <n v="1"/>
    <x v="20"/>
    <b v="0"/>
    <n v="2"/>
    <n v="3"/>
    <n v="0.16"/>
    <n v="0.1515"/>
    <n v="0.93"/>
    <n v="0.19400000000000001"/>
    <n v="0"/>
    <n v="32"/>
    <n v="32"/>
    <x v="3"/>
  </r>
  <r>
    <n v="253"/>
    <d v="2011-01-11T00:00:00"/>
    <n v="1"/>
    <n v="0"/>
    <n v="1"/>
    <x v="21"/>
    <b v="0"/>
    <n v="2"/>
    <n v="3"/>
    <n v="0.16"/>
    <n v="0.19700000000000001"/>
    <n v="0.86"/>
    <n v="8.9599999999999999E-2"/>
    <n v="0"/>
    <n v="20"/>
    <n v="20"/>
    <x v="3"/>
  </r>
  <r>
    <n v="254"/>
    <d v="2011-01-11T00:00:00"/>
    <n v="1"/>
    <n v="0"/>
    <n v="1"/>
    <x v="22"/>
    <b v="0"/>
    <n v="2"/>
    <n v="3"/>
    <n v="0.16"/>
    <n v="0.18179999999999999"/>
    <n v="0.93"/>
    <n v="0.1045"/>
    <n v="1"/>
    <n v="28"/>
    <n v="29"/>
    <x v="3"/>
  </r>
  <r>
    <n v="255"/>
    <d v="2011-01-11T00:00:00"/>
    <n v="1"/>
    <n v="0"/>
    <n v="1"/>
    <x v="23"/>
    <b v="0"/>
    <n v="2"/>
    <n v="3"/>
    <n v="0.16"/>
    <n v="0.19700000000000001"/>
    <n v="0.93"/>
    <n v="8.9599999999999999E-2"/>
    <n v="1"/>
    <n v="18"/>
    <n v="19"/>
    <x v="3"/>
  </r>
  <r>
    <n v="256"/>
    <d v="2011-01-12T00:00:00"/>
    <n v="1"/>
    <n v="0"/>
    <n v="1"/>
    <x v="0"/>
    <b v="0"/>
    <n v="3"/>
    <n v="2"/>
    <n v="0.16"/>
    <n v="0.19700000000000001"/>
    <n v="0.86"/>
    <n v="8.9599999999999999E-2"/>
    <n v="0"/>
    <n v="7"/>
    <n v="7"/>
    <x v="4"/>
  </r>
  <r>
    <n v="257"/>
    <d v="2011-01-12T00:00:00"/>
    <n v="1"/>
    <n v="0"/>
    <n v="1"/>
    <x v="1"/>
    <b v="0"/>
    <n v="3"/>
    <n v="2"/>
    <n v="0.16"/>
    <n v="0.18179999999999999"/>
    <n v="0.86"/>
    <n v="0.1045"/>
    <n v="0"/>
    <n v="6"/>
    <n v="6"/>
    <x v="4"/>
  </r>
  <r>
    <n v="258"/>
    <d v="2011-01-12T00:00:00"/>
    <n v="1"/>
    <n v="0"/>
    <n v="1"/>
    <x v="2"/>
    <b v="0"/>
    <n v="3"/>
    <n v="1"/>
    <n v="0.14000000000000001"/>
    <n v="0.1515"/>
    <n v="0.86"/>
    <n v="0.1343"/>
    <n v="0"/>
    <n v="1"/>
    <n v="1"/>
    <x v="4"/>
  </r>
  <r>
    <n v="259"/>
    <d v="2011-01-12T00:00:00"/>
    <n v="1"/>
    <n v="0"/>
    <n v="1"/>
    <x v="5"/>
    <b v="0"/>
    <n v="3"/>
    <n v="1"/>
    <n v="0.14000000000000001"/>
    <n v="0.1515"/>
    <n v="0.86"/>
    <n v="0.16420000000000001"/>
    <n v="0"/>
    <n v="5"/>
    <n v="5"/>
    <x v="4"/>
  </r>
  <r>
    <n v="260"/>
    <d v="2011-01-12T00:00:00"/>
    <n v="1"/>
    <n v="0"/>
    <n v="1"/>
    <x v="6"/>
    <b v="0"/>
    <n v="3"/>
    <n v="1"/>
    <n v="0.12"/>
    <n v="0.1515"/>
    <n v="0.93"/>
    <n v="0.1343"/>
    <n v="0"/>
    <n v="16"/>
    <n v="16"/>
    <x v="4"/>
  </r>
  <r>
    <n v="261"/>
    <d v="2011-01-12T00:00:00"/>
    <n v="1"/>
    <n v="0"/>
    <n v="1"/>
    <x v="7"/>
    <b v="0"/>
    <n v="3"/>
    <n v="1"/>
    <n v="0.14000000000000001"/>
    <n v="0.1515"/>
    <n v="0.69"/>
    <n v="0.1343"/>
    <n v="0"/>
    <n v="54"/>
    <n v="54"/>
    <x v="4"/>
  </r>
  <r>
    <n v="262"/>
    <d v="2011-01-12T00:00:00"/>
    <n v="1"/>
    <n v="0"/>
    <n v="1"/>
    <x v="8"/>
    <b v="0"/>
    <n v="3"/>
    <n v="1"/>
    <n v="0.16"/>
    <n v="0.16669999999999999"/>
    <n v="0.59"/>
    <n v="0.16420000000000001"/>
    <n v="3"/>
    <n v="125"/>
    <n v="128"/>
    <x v="4"/>
  </r>
  <r>
    <n v="263"/>
    <d v="2011-01-12T00:00:00"/>
    <n v="1"/>
    <n v="0"/>
    <n v="1"/>
    <x v="9"/>
    <b v="0"/>
    <n v="3"/>
    <n v="1"/>
    <n v="0.16"/>
    <n v="0.13639999999999999"/>
    <n v="0.59"/>
    <n v="0.32840000000000003"/>
    <n v="3"/>
    <n v="78"/>
    <n v="81"/>
    <x v="4"/>
  </r>
  <r>
    <n v="264"/>
    <d v="2011-01-12T00:00:00"/>
    <n v="1"/>
    <n v="0"/>
    <n v="1"/>
    <x v="10"/>
    <b v="0"/>
    <n v="3"/>
    <n v="1"/>
    <n v="0.18"/>
    <n v="0.18179999999999999"/>
    <n v="0.55000000000000004"/>
    <n v="0.22389999999999999"/>
    <n v="0"/>
    <n v="39"/>
    <n v="39"/>
    <x v="4"/>
  </r>
  <r>
    <n v="265"/>
    <d v="2011-01-12T00:00:00"/>
    <n v="1"/>
    <n v="0"/>
    <n v="1"/>
    <x v="11"/>
    <b v="0"/>
    <n v="3"/>
    <n v="1"/>
    <n v="0.2"/>
    <n v="0.18179999999999999"/>
    <n v="0.51"/>
    <n v="0.3881"/>
    <n v="3"/>
    <n v="32"/>
    <n v="35"/>
    <x v="4"/>
  </r>
  <r>
    <n v="266"/>
    <d v="2011-01-12T00:00:00"/>
    <n v="1"/>
    <n v="0"/>
    <n v="1"/>
    <x v="12"/>
    <b v="0"/>
    <n v="3"/>
    <n v="1"/>
    <n v="0.2"/>
    <n v="0.1515"/>
    <n v="0.47"/>
    <n v="0.58209999999999995"/>
    <n v="3"/>
    <n v="52"/>
    <n v="55"/>
    <x v="4"/>
  </r>
  <r>
    <n v="267"/>
    <d v="2011-01-12T00:00:00"/>
    <n v="1"/>
    <n v="0"/>
    <n v="1"/>
    <x v="13"/>
    <b v="0"/>
    <n v="3"/>
    <n v="1"/>
    <n v="0.22"/>
    <n v="0.19700000000000001"/>
    <n v="0.44"/>
    <n v="0.35820000000000002"/>
    <n v="0"/>
    <n v="49"/>
    <n v="49"/>
    <x v="4"/>
  </r>
  <r>
    <n v="268"/>
    <d v="2011-01-12T00:00:00"/>
    <n v="1"/>
    <n v="0"/>
    <n v="1"/>
    <x v="14"/>
    <b v="0"/>
    <n v="3"/>
    <n v="1"/>
    <n v="0.2"/>
    <n v="0.18179999999999999"/>
    <n v="0.47"/>
    <n v="0.32840000000000003"/>
    <n v="0"/>
    <n v="44"/>
    <n v="44"/>
    <x v="4"/>
  </r>
  <r>
    <n v="269"/>
    <d v="2011-01-12T00:00:00"/>
    <n v="1"/>
    <n v="0"/>
    <n v="1"/>
    <x v="15"/>
    <b v="0"/>
    <n v="3"/>
    <n v="1"/>
    <n v="0.2"/>
    <n v="0.16669999999999999"/>
    <n v="0.47"/>
    <n v="0.41789999999999999"/>
    <n v="1"/>
    <n v="48"/>
    <n v="49"/>
    <x v="4"/>
  </r>
  <r>
    <n v="270"/>
    <d v="2011-01-12T00:00:00"/>
    <n v="1"/>
    <n v="0"/>
    <n v="1"/>
    <x v="16"/>
    <b v="0"/>
    <n v="3"/>
    <n v="1"/>
    <n v="0.22"/>
    <n v="0.19700000000000001"/>
    <n v="0.44"/>
    <n v="0.32840000000000003"/>
    <n v="5"/>
    <n v="63"/>
    <n v="68"/>
    <x v="4"/>
  </r>
  <r>
    <n v="271"/>
    <d v="2011-01-12T00:00:00"/>
    <n v="1"/>
    <n v="0"/>
    <n v="1"/>
    <x v="17"/>
    <b v="0"/>
    <n v="3"/>
    <n v="1"/>
    <n v="0.2"/>
    <n v="0.18179999999999999"/>
    <n v="0.47"/>
    <n v="0.35820000000000002"/>
    <n v="0"/>
    <n v="139"/>
    <n v="139"/>
    <x v="4"/>
  </r>
  <r>
    <n v="272"/>
    <d v="2011-01-12T00:00:00"/>
    <n v="1"/>
    <n v="0"/>
    <n v="1"/>
    <x v="18"/>
    <b v="0"/>
    <n v="3"/>
    <n v="1"/>
    <n v="0.2"/>
    <n v="0.1515"/>
    <n v="0.47"/>
    <n v="0.52239999999999998"/>
    <n v="2"/>
    <n v="135"/>
    <n v="137"/>
    <x v="4"/>
  </r>
  <r>
    <n v="273"/>
    <d v="2011-01-12T00:00:00"/>
    <n v="1"/>
    <n v="0"/>
    <n v="1"/>
    <x v="19"/>
    <b v="0"/>
    <n v="3"/>
    <n v="1"/>
    <n v="0.18"/>
    <n v="0.1515"/>
    <n v="0.47"/>
    <n v="0.41789999999999999"/>
    <n v="1"/>
    <n v="82"/>
    <n v="83"/>
    <x v="4"/>
  </r>
  <r>
    <n v="274"/>
    <d v="2011-01-12T00:00:00"/>
    <n v="1"/>
    <n v="0"/>
    <n v="1"/>
    <x v="20"/>
    <b v="0"/>
    <n v="3"/>
    <n v="1"/>
    <n v="0.16"/>
    <n v="0.13639999999999999"/>
    <n v="0.5"/>
    <n v="0.32840000000000003"/>
    <n v="2"/>
    <n v="54"/>
    <n v="56"/>
    <x v="4"/>
  </r>
  <r>
    <n v="275"/>
    <d v="2011-01-12T00:00:00"/>
    <n v="1"/>
    <n v="0"/>
    <n v="1"/>
    <x v="21"/>
    <b v="0"/>
    <n v="3"/>
    <n v="1"/>
    <n v="0.16"/>
    <n v="0.13639999999999999"/>
    <n v="0.55000000000000004"/>
    <n v="0.32840000000000003"/>
    <n v="0"/>
    <n v="57"/>
    <n v="57"/>
    <x v="4"/>
  </r>
  <r>
    <n v="276"/>
    <d v="2011-01-12T00:00:00"/>
    <n v="1"/>
    <n v="0"/>
    <n v="1"/>
    <x v="22"/>
    <b v="0"/>
    <n v="3"/>
    <n v="1"/>
    <n v="0.16"/>
    <n v="0.1212"/>
    <n v="0.55000000000000004"/>
    <n v="0.44779999999999998"/>
    <n v="1"/>
    <n v="32"/>
    <n v="33"/>
    <x v="4"/>
  </r>
  <r>
    <n v="277"/>
    <d v="2011-01-12T00:00:00"/>
    <n v="1"/>
    <n v="0"/>
    <n v="1"/>
    <x v="23"/>
    <b v="0"/>
    <n v="3"/>
    <n v="1"/>
    <n v="0.14000000000000001"/>
    <n v="0.1061"/>
    <n v="0.59"/>
    <n v="0.41789999999999999"/>
    <n v="1"/>
    <n v="19"/>
    <n v="20"/>
    <x v="4"/>
  </r>
  <r>
    <n v="278"/>
    <d v="2011-01-13T00:00:00"/>
    <n v="1"/>
    <n v="0"/>
    <n v="1"/>
    <x v="0"/>
    <b v="0"/>
    <n v="4"/>
    <n v="1"/>
    <n v="0.14000000000000001"/>
    <n v="0.1212"/>
    <n v="0.59"/>
    <n v="0.28360000000000002"/>
    <n v="1"/>
    <n v="6"/>
    <n v="7"/>
    <x v="5"/>
  </r>
  <r>
    <n v="279"/>
    <d v="2011-01-13T00:00:00"/>
    <n v="1"/>
    <n v="0"/>
    <n v="1"/>
    <x v="1"/>
    <b v="0"/>
    <n v="4"/>
    <n v="1"/>
    <n v="0.14000000000000001"/>
    <n v="0.1212"/>
    <n v="0.5"/>
    <n v="0.28360000000000002"/>
    <n v="0"/>
    <n v="2"/>
    <n v="2"/>
    <x v="5"/>
  </r>
  <r>
    <n v="280"/>
    <d v="2011-01-13T00:00:00"/>
    <n v="1"/>
    <n v="0"/>
    <n v="1"/>
    <x v="2"/>
    <b v="0"/>
    <n v="4"/>
    <n v="1"/>
    <n v="0.14000000000000001"/>
    <n v="0.1212"/>
    <n v="0.5"/>
    <n v="0.35820000000000002"/>
    <n v="0"/>
    <n v="2"/>
    <n v="2"/>
    <x v="5"/>
  </r>
  <r>
    <n v="281"/>
    <d v="2011-01-13T00:00:00"/>
    <n v="1"/>
    <n v="0"/>
    <n v="1"/>
    <x v="3"/>
    <b v="0"/>
    <n v="4"/>
    <n v="1"/>
    <n v="0.14000000000000001"/>
    <n v="0.1212"/>
    <n v="0.5"/>
    <n v="0.32840000000000003"/>
    <n v="0"/>
    <n v="3"/>
    <n v="3"/>
    <x v="5"/>
  </r>
  <r>
    <n v="282"/>
    <d v="2011-01-13T00:00:00"/>
    <n v="1"/>
    <n v="0"/>
    <n v="1"/>
    <x v="4"/>
    <b v="0"/>
    <n v="4"/>
    <n v="1"/>
    <n v="0.14000000000000001"/>
    <n v="0.1212"/>
    <n v="0.5"/>
    <n v="0.25369999999999998"/>
    <n v="0"/>
    <n v="4"/>
    <n v="4"/>
    <x v="5"/>
  </r>
  <r>
    <n v="283"/>
    <d v="2011-01-13T00:00:00"/>
    <n v="1"/>
    <n v="0"/>
    <n v="1"/>
    <x v="5"/>
    <b v="0"/>
    <n v="4"/>
    <n v="1"/>
    <n v="0.14000000000000001"/>
    <n v="0.1212"/>
    <n v="0.5"/>
    <n v="0.29849999999999999"/>
    <n v="0"/>
    <n v="3"/>
    <n v="3"/>
    <x v="5"/>
  </r>
  <r>
    <n v="284"/>
    <d v="2011-01-13T00:00:00"/>
    <n v="1"/>
    <n v="0"/>
    <n v="1"/>
    <x v="6"/>
    <b v="0"/>
    <n v="4"/>
    <n v="1"/>
    <n v="0.12"/>
    <n v="0.1515"/>
    <n v="0.54"/>
    <n v="0.1343"/>
    <n v="0"/>
    <n v="28"/>
    <n v="28"/>
    <x v="5"/>
  </r>
  <r>
    <n v="285"/>
    <d v="2011-01-13T00:00:00"/>
    <n v="1"/>
    <n v="0"/>
    <n v="1"/>
    <x v="7"/>
    <b v="0"/>
    <n v="4"/>
    <n v="1"/>
    <n v="0.12"/>
    <n v="0.1515"/>
    <n v="0.54"/>
    <n v="0.1343"/>
    <n v="0"/>
    <n v="72"/>
    <n v="72"/>
    <x v="5"/>
  </r>
  <r>
    <n v="286"/>
    <d v="2011-01-13T00:00:00"/>
    <n v="1"/>
    <n v="0"/>
    <n v="1"/>
    <x v="8"/>
    <b v="0"/>
    <n v="4"/>
    <n v="1"/>
    <n v="0.14000000000000001"/>
    <n v="0.13639999999999999"/>
    <n v="0.5"/>
    <n v="0.19400000000000001"/>
    <n v="5"/>
    <n v="197"/>
    <n v="202"/>
    <x v="5"/>
  </r>
  <r>
    <n v="287"/>
    <d v="2011-01-13T00:00:00"/>
    <n v="1"/>
    <n v="0"/>
    <n v="1"/>
    <x v="9"/>
    <b v="0"/>
    <n v="4"/>
    <n v="1"/>
    <n v="0.14000000000000001"/>
    <n v="0.1212"/>
    <n v="0.5"/>
    <n v="0.32840000000000003"/>
    <n v="2"/>
    <n v="137"/>
    <n v="139"/>
    <x v="5"/>
  </r>
  <r>
    <n v="288"/>
    <d v="2011-01-13T00:00:00"/>
    <n v="1"/>
    <n v="0"/>
    <n v="1"/>
    <x v="10"/>
    <b v="0"/>
    <n v="4"/>
    <n v="2"/>
    <n v="0.16"/>
    <n v="0.13639999999999999"/>
    <n v="0.5"/>
    <n v="0.35820000000000002"/>
    <n v="2"/>
    <n v="36"/>
    <n v="38"/>
    <x v="5"/>
  </r>
  <r>
    <n v="289"/>
    <d v="2011-01-13T00:00:00"/>
    <n v="1"/>
    <n v="0"/>
    <n v="1"/>
    <x v="11"/>
    <b v="0"/>
    <n v="4"/>
    <n v="2"/>
    <n v="0.2"/>
    <n v="0.16669999999999999"/>
    <n v="0.44"/>
    <n v="0.44779999999999998"/>
    <n v="4"/>
    <n v="33"/>
    <n v="37"/>
    <x v="5"/>
  </r>
  <r>
    <n v="290"/>
    <d v="2011-01-13T00:00:00"/>
    <n v="1"/>
    <n v="0"/>
    <n v="1"/>
    <x v="12"/>
    <b v="0"/>
    <n v="4"/>
    <n v="1"/>
    <n v="0.2"/>
    <n v="0.16669999999999999"/>
    <n v="0.44"/>
    <n v="0.41789999999999999"/>
    <n v="3"/>
    <n v="49"/>
    <n v="52"/>
    <x v="5"/>
  </r>
  <r>
    <n v="291"/>
    <d v="2011-01-13T00:00:00"/>
    <n v="1"/>
    <n v="0"/>
    <n v="1"/>
    <x v="13"/>
    <b v="0"/>
    <n v="4"/>
    <n v="1"/>
    <n v="0.22"/>
    <n v="0.19700000000000001"/>
    <n v="0.41"/>
    <n v="0.44779999999999998"/>
    <n v="2"/>
    <n v="81"/>
    <n v="83"/>
    <x v="5"/>
  </r>
  <r>
    <n v="292"/>
    <d v="2011-01-13T00:00:00"/>
    <n v="1"/>
    <n v="0"/>
    <n v="1"/>
    <x v="14"/>
    <b v="0"/>
    <n v="4"/>
    <n v="1"/>
    <n v="0.22"/>
    <n v="0.19700000000000001"/>
    <n v="0.41"/>
    <n v="0.3881"/>
    <n v="3"/>
    <n v="39"/>
    <n v="42"/>
    <x v="5"/>
  </r>
  <r>
    <n v="293"/>
    <d v="2011-01-13T00:00:00"/>
    <n v="1"/>
    <n v="0"/>
    <n v="1"/>
    <x v="15"/>
    <b v="0"/>
    <n v="4"/>
    <n v="1"/>
    <n v="0.24"/>
    <n v="0.21210000000000001"/>
    <n v="0.38"/>
    <n v="0.29849999999999999"/>
    <n v="5"/>
    <n v="55"/>
    <n v="60"/>
    <x v="5"/>
  </r>
  <r>
    <n v="294"/>
    <d v="2011-01-13T00:00:00"/>
    <n v="1"/>
    <n v="0"/>
    <n v="1"/>
    <x v="16"/>
    <b v="0"/>
    <n v="4"/>
    <n v="1"/>
    <n v="0.24"/>
    <n v="0.21210000000000001"/>
    <n v="0.38"/>
    <n v="0.35820000000000002"/>
    <n v="2"/>
    <n v="76"/>
    <n v="78"/>
    <x v="5"/>
  </r>
  <r>
    <n v="295"/>
    <d v="2011-01-13T00:00:00"/>
    <n v="1"/>
    <n v="0"/>
    <n v="1"/>
    <x v="17"/>
    <b v="0"/>
    <n v="4"/>
    <n v="1"/>
    <n v="0.2"/>
    <n v="0.18179999999999999"/>
    <n v="0.4"/>
    <n v="0.28360000000000002"/>
    <n v="4"/>
    <n v="158"/>
    <n v="162"/>
    <x v="5"/>
  </r>
  <r>
    <n v="296"/>
    <d v="2011-01-13T00:00:00"/>
    <n v="1"/>
    <n v="0"/>
    <n v="1"/>
    <x v="18"/>
    <b v="0"/>
    <n v="4"/>
    <n v="1"/>
    <n v="0.2"/>
    <n v="0.18179999999999999"/>
    <n v="0.4"/>
    <n v="0.32840000000000003"/>
    <n v="3"/>
    <n v="141"/>
    <n v="144"/>
    <x v="5"/>
  </r>
  <r>
    <n v="297"/>
    <d v="2011-01-13T00:00:00"/>
    <n v="1"/>
    <n v="0"/>
    <n v="1"/>
    <x v="19"/>
    <b v="0"/>
    <n v="4"/>
    <n v="1"/>
    <n v="0.16"/>
    <n v="0.1515"/>
    <n v="0.47"/>
    <n v="0.25369999999999998"/>
    <n v="1"/>
    <n v="98"/>
    <n v="99"/>
    <x v="5"/>
  </r>
  <r>
    <n v="298"/>
    <d v="2011-01-13T00:00:00"/>
    <n v="1"/>
    <n v="0"/>
    <n v="1"/>
    <x v="20"/>
    <b v="0"/>
    <n v="4"/>
    <n v="1"/>
    <n v="0.16"/>
    <n v="0.1515"/>
    <n v="0.47"/>
    <n v="0.22389999999999999"/>
    <n v="0"/>
    <n v="64"/>
    <n v="64"/>
    <x v="5"/>
  </r>
  <r>
    <n v="299"/>
    <d v="2011-01-13T00:00:00"/>
    <n v="1"/>
    <n v="0"/>
    <n v="1"/>
    <x v="21"/>
    <b v="0"/>
    <n v="4"/>
    <n v="1"/>
    <n v="0.14000000000000001"/>
    <n v="0.1212"/>
    <n v="0.46"/>
    <n v="0.29849999999999999"/>
    <n v="0"/>
    <n v="40"/>
    <n v="40"/>
    <x v="5"/>
  </r>
  <r>
    <n v="300"/>
    <d v="2011-01-13T00:00:00"/>
    <n v="1"/>
    <n v="0"/>
    <n v="1"/>
    <x v="22"/>
    <b v="0"/>
    <n v="4"/>
    <n v="1"/>
    <n v="0.14000000000000001"/>
    <n v="0.1212"/>
    <n v="0.46"/>
    <n v="0.32840000000000003"/>
    <n v="0"/>
    <n v="30"/>
    <n v="30"/>
    <x v="5"/>
  </r>
  <r>
    <n v="301"/>
    <d v="2011-01-13T00:00:00"/>
    <n v="1"/>
    <n v="0"/>
    <n v="1"/>
    <x v="23"/>
    <b v="0"/>
    <n v="4"/>
    <n v="1"/>
    <n v="0.12"/>
    <n v="0.13639999999999999"/>
    <n v="0.5"/>
    <n v="0.19400000000000001"/>
    <n v="1"/>
    <n v="14"/>
    <n v="15"/>
    <x v="5"/>
  </r>
  <r>
    <n v="302"/>
    <d v="2011-01-14T00:00:00"/>
    <n v="1"/>
    <n v="0"/>
    <n v="1"/>
    <x v="0"/>
    <b v="0"/>
    <n v="5"/>
    <n v="1"/>
    <n v="0.12"/>
    <n v="0.13639999999999999"/>
    <n v="0.5"/>
    <n v="0.19400000000000001"/>
    <n v="0"/>
    <n v="14"/>
    <n v="14"/>
    <x v="6"/>
  </r>
  <r>
    <n v="303"/>
    <d v="2011-01-14T00:00:00"/>
    <n v="1"/>
    <n v="0"/>
    <n v="1"/>
    <x v="1"/>
    <b v="0"/>
    <n v="5"/>
    <n v="1"/>
    <n v="0.1"/>
    <n v="0.1212"/>
    <n v="0.54"/>
    <n v="0.16420000000000001"/>
    <n v="0"/>
    <n v="5"/>
    <n v="5"/>
    <x v="6"/>
  </r>
  <r>
    <n v="304"/>
    <d v="2011-01-14T00:00:00"/>
    <n v="1"/>
    <n v="0"/>
    <n v="1"/>
    <x v="2"/>
    <b v="0"/>
    <n v="5"/>
    <n v="1"/>
    <n v="0.1"/>
    <n v="0.1212"/>
    <n v="0.54"/>
    <n v="0.1343"/>
    <n v="0"/>
    <n v="1"/>
    <n v="1"/>
    <x v="6"/>
  </r>
  <r>
    <n v="305"/>
    <d v="2011-01-14T00:00:00"/>
    <n v="1"/>
    <n v="0"/>
    <n v="1"/>
    <x v="3"/>
    <b v="0"/>
    <n v="5"/>
    <n v="1"/>
    <n v="0.1"/>
    <n v="0.13639999999999999"/>
    <n v="0.54"/>
    <n v="0.1045"/>
    <n v="0"/>
    <n v="1"/>
    <n v="1"/>
    <x v="6"/>
  </r>
  <r>
    <n v="306"/>
    <d v="2011-01-14T00:00:00"/>
    <n v="1"/>
    <n v="0"/>
    <n v="1"/>
    <x v="5"/>
    <b v="0"/>
    <n v="5"/>
    <n v="1"/>
    <n v="0.1"/>
    <n v="0.13639999999999999"/>
    <n v="0.54"/>
    <n v="8.9599999999999999E-2"/>
    <n v="0"/>
    <n v="8"/>
    <n v="8"/>
    <x v="6"/>
  </r>
  <r>
    <n v="307"/>
    <d v="2011-01-14T00:00:00"/>
    <n v="1"/>
    <n v="0"/>
    <n v="1"/>
    <x v="6"/>
    <b v="0"/>
    <n v="5"/>
    <n v="1"/>
    <n v="0.1"/>
    <n v="0.18179999999999999"/>
    <n v="0.54"/>
    <n v="0"/>
    <n v="0"/>
    <n v="17"/>
    <n v="17"/>
    <x v="6"/>
  </r>
  <r>
    <n v="308"/>
    <d v="2011-01-14T00:00:00"/>
    <n v="1"/>
    <n v="0"/>
    <n v="1"/>
    <x v="7"/>
    <b v="0"/>
    <n v="5"/>
    <n v="1"/>
    <n v="0.1"/>
    <n v="0.1212"/>
    <n v="0.74"/>
    <n v="0.16420000000000001"/>
    <n v="0"/>
    <n v="70"/>
    <n v="70"/>
    <x v="6"/>
  </r>
  <r>
    <n v="309"/>
    <d v="2011-01-14T00:00:00"/>
    <n v="1"/>
    <n v="0"/>
    <n v="1"/>
    <x v="8"/>
    <b v="0"/>
    <n v="5"/>
    <n v="1"/>
    <n v="0.12"/>
    <n v="0.16669999999999999"/>
    <n v="0.68"/>
    <n v="0"/>
    <n v="2"/>
    <n v="156"/>
    <n v="158"/>
    <x v="6"/>
  </r>
  <r>
    <n v="310"/>
    <d v="2011-01-14T00:00:00"/>
    <n v="1"/>
    <n v="0"/>
    <n v="1"/>
    <x v="9"/>
    <b v="0"/>
    <n v="5"/>
    <n v="1"/>
    <n v="0.14000000000000001"/>
    <n v="0.1515"/>
    <n v="0.69"/>
    <n v="0.1343"/>
    <n v="0"/>
    <n v="117"/>
    <n v="117"/>
    <x v="6"/>
  </r>
  <r>
    <n v="311"/>
    <d v="2011-01-14T00:00:00"/>
    <n v="1"/>
    <n v="0"/>
    <n v="1"/>
    <x v="10"/>
    <b v="0"/>
    <n v="5"/>
    <n v="1"/>
    <n v="0.18"/>
    <n v="0.18179999999999999"/>
    <n v="0.55000000000000004"/>
    <n v="0.19400000000000001"/>
    <n v="4"/>
    <n v="40"/>
    <n v="44"/>
    <x v="6"/>
  </r>
  <r>
    <n v="312"/>
    <d v="2011-01-14T00:00:00"/>
    <n v="1"/>
    <n v="0"/>
    <n v="1"/>
    <x v="11"/>
    <b v="0"/>
    <n v="5"/>
    <n v="1"/>
    <n v="0.18"/>
    <n v="0.16669999999999999"/>
    <n v="0.51"/>
    <n v="0.28360000000000002"/>
    <n v="6"/>
    <n v="47"/>
    <n v="53"/>
    <x v="6"/>
  </r>
  <r>
    <n v="313"/>
    <d v="2011-01-14T00:00:00"/>
    <n v="1"/>
    <n v="0"/>
    <n v="1"/>
    <x v="12"/>
    <b v="0"/>
    <n v="5"/>
    <n v="1"/>
    <n v="0.2"/>
    <n v="0.19700000000000001"/>
    <n v="0.44"/>
    <n v="0.25369999999999998"/>
    <n v="2"/>
    <n v="59"/>
    <n v="61"/>
    <x v="6"/>
  </r>
  <r>
    <n v="314"/>
    <d v="2011-01-14T00:00:00"/>
    <n v="1"/>
    <n v="0"/>
    <n v="1"/>
    <x v="13"/>
    <b v="0"/>
    <n v="5"/>
    <n v="1"/>
    <n v="0.22"/>
    <n v="0.19700000000000001"/>
    <n v="0.37"/>
    <n v="0.3881"/>
    <n v="4"/>
    <n v="73"/>
    <n v="77"/>
    <x v="6"/>
  </r>
  <r>
    <n v="315"/>
    <d v="2011-01-14T00:00:00"/>
    <n v="1"/>
    <n v="0"/>
    <n v="1"/>
    <x v="14"/>
    <b v="0"/>
    <n v="5"/>
    <n v="1"/>
    <n v="0.22"/>
    <n v="0.21210000000000001"/>
    <n v="0.41"/>
    <n v="0.28360000000000002"/>
    <n v="5"/>
    <n v="59"/>
    <n v="64"/>
    <x v="6"/>
  </r>
  <r>
    <n v="316"/>
    <d v="2011-01-14T00:00:00"/>
    <n v="1"/>
    <n v="0"/>
    <n v="1"/>
    <x v="15"/>
    <b v="0"/>
    <n v="5"/>
    <n v="1"/>
    <n v="0.24"/>
    <n v="0.2424"/>
    <n v="0.38"/>
    <n v="0.16420000000000001"/>
    <n v="9"/>
    <n v="59"/>
    <n v="68"/>
    <x v="6"/>
  </r>
  <r>
    <n v="317"/>
    <d v="2011-01-14T00:00:00"/>
    <n v="1"/>
    <n v="0"/>
    <n v="1"/>
    <x v="16"/>
    <b v="0"/>
    <n v="5"/>
    <n v="1"/>
    <n v="0.22"/>
    <n v="0.2424"/>
    <n v="0.41"/>
    <n v="0.1045"/>
    <n v="3"/>
    <n v="87"/>
    <n v="90"/>
    <x v="6"/>
  </r>
  <r>
    <n v="318"/>
    <d v="2011-01-14T00:00:00"/>
    <n v="1"/>
    <n v="0"/>
    <n v="1"/>
    <x v="17"/>
    <b v="0"/>
    <n v="5"/>
    <n v="1"/>
    <n v="0.22"/>
    <n v="0.2273"/>
    <n v="0.41"/>
    <n v="0.16420000000000001"/>
    <n v="4"/>
    <n v="155"/>
    <n v="159"/>
    <x v="6"/>
  </r>
  <r>
    <n v="319"/>
    <d v="2011-01-14T00:00:00"/>
    <n v="1"/>
    <n v="0"/>
    <n v="1"/>
    <x v="18"/>
    <b v="0"/>
    <n v="5"/>
    <n v="1"/>
    <n v="0.2"/>
    <n v="0.2576"/>
    <n v="0.47"/>
    <n v="0"/>
    <n v="5"/>
    <n v="134"/>
    <n v="139"/>
    <x v="6"/>
  </r>
  <r>
    <n v="320"/>
    <d v="2011-01-14T00:00:00"/>
    <n v="1"/>
    <n v="0"/>
    <n v="1"/>
    <x v="19"/>
    <b v="0"/>
    <n v="5"/>
    <n v="1"/>
    <n v="0.16"/>
    <n v="0.19700000000000001"/>
    <n v="0.59"/>
    <n v="8.9599999999999999E-2"/>
    <n v="3"/>
    <n v="89"/>
    <n v="92"/>
    <x v="6"/>
  </r>
  <r>
    <n v="321"/>
    <d v="2011-01-14T00:00:00"/>
    <n v="1"/>
    <n v="0"/>
    <n v="1"/>
    <x v="20"/>
    <b v="0"/>
    <n v="5"/>
    <n v="1"/>
    <n v="0.18"/>
    <n v="0.2424"/>
    <n v="0.59"/>
    <n v="0"/>
    <n v="0"/>
    <n v="68"/>
    <n v="68"/>
    <x v="6"/>
  </r>
  <r>
    <n v="322"/>
    <d v="2011-01-14T00:00:00"/>
    <n v="1"/>
    <n v="0"/>
    <n v="1"/>
    <x v="21"/>
    <b v="0"/>
    <n v="5"/>
    <n v="1"/>
    <n v="0.16"/>
    <n v="0.2273"/>
    <n v="0.69"/>
    <n v="0"/>
    <n v="4"/>
    <n v="48"/>
    <n v="52"/>
    <x v="6"/>
  </r>
  <r>
    <n v="323"/>
    <d v="2011-01-14T00:00:00"/>
    <n v="1"/>
    <n v="0"/>
    <n v="1"/>
    <x v="22"/>
    <b v="0"/>
    <n v="5"/>
    <n v="2"/>
    <n v="0.16"/>
    <n v="0.2273"/>
    <n v="0.69"/>
    <n v="0"/>
    <n v="2"/>
    <n v="34"/>
    <n v="36"/>
    <x v="6"/>
  </r>
  <r>
    <n v="324"/>
    <d v="2011-01-14T00:00:00"/>
    <n v="1"/>
    <n v="0"/>
    <n v="1"/>
    <x v="23"/>
    <b v="0"/>
    <n v="5"/>
    <n v="2"/>
    <n v="0.18"/>
    <n v="0.2424"/>
    <n v="0.55000000000000004"/>
    <n v="0"/>
    <n v="1"/>
    <n v="26"/>
    <n v="27"/>
    <x v="6"/>
  </r>
  <r>
    <n v="325"/>
    <d v="2011-01-15T00:00:00"/>
    <n v="1"/>
    <n v="0"/>
    <n v="1"/>
    <x v="0"/>
    <b v="0"/>
    <n v="6"/>
    <n v="1"/>
    <n v="0.18"/>
    <n v="0.2424"/>
    <n v="0.55000000000000004"/>
    <n v="0"/>
    <n v="3"/>
    <n v="25"/>
    <n v="28"/>
    <x v="0"/>
  </r>
  <r>
    <n v="326"/>
    <d v="2011-01-15T00:00:00"/>
    <n v="1"/>
    <n v="0"/>
    <n v="1"/>
    <x v="1"/>
    <b v="0"/>
    <n v="6"/>
    <n v="2"/>
    <n v="0.16"/>
    <n v="0.19700000000000001"/>
    <n v="0.59"/>
    <n v="8.9599999999999999E-2"/>
    <n v="2"/>
    <n v="18"/>
    <n v="20"/>
    <x v="0"/>
  </r>
  <r>
    <n v="327"/>
    <d v="2011-01-15T00:00:00"/>
    <n v="1"/>
    <n v="0"/>
    <n v="1"/>
    <x v="2"/>
    <b v="0"/>
    <n v="6"/>
    <n v="2"/>
    <n v="0.16"/>
    <n v="0.19700000000000001"/>
    <n v="0.59"/>
    <n v="8.9599999999999999E-2"/>
    <n v="0"/>
    <n v="12"/>
    <n v="12"/>
    <x v="0"/>
  </r>
  <r>
    <n v="328"/>
    <d v="2011-01-15T00:00:00"/>
    <n v="1"/>
    <n v="0"/>
    <n v="1"/>
    <x v="3"/>
    <b v="0"/>
    <n v="6"/>
    <n v="2"/>
    <n v="0.16"/>
    <n v="0.2273"/>
    <n v="0.59"/>
    <n v="0"/>
    <n v="1"/>
    <n v="7"/>
    <n v="8"/>
    <x v="0"/>
  </r>
  <r>
    <n v="329"/>
    <d v="2011-01-15T00:00:00"/>
    <n v="1"/>
    <n v="0"/>
    <n v="1"/>
    <x v="4"/>
    <b v="0"/>
    <n v="6"/>
    <n v="2"/>
    <n v="0.16"/>
    <n v="0.2273"/>
    <n v="0.59"/>
    <n v="0"/>
    <n v="0"/>
    <n v="5"/>
    <n v="5"/>
    <x v="0"/>
  </r>
  <r>
    <n v="330"/>
    <d v="2011-01-15T00:00:00"/>
    <n v="1"/>
    <n v="0"/>
    <n v="1"/>
    <x v="5"/>
    <b v="0"/>
    <n v="6"/>
    <n v="1"/>
    <n v="0.16"/>
    <n v="0.2273"/>
    <n v="0.59"/>
    <n v="0"/>
    <n v="0"/>
    <n v="1"/>
    <n v="1"/>
    <x v="0"/>
  </r>
  <r>
    <n v="331"/>
    <d v="2011-01-15T00:00:00"/>
    <n v="1"/>
    <n v="0"/>
    <n v="1"/>
    <x v="6"/>
    <b v="0"/>
    <n v="6"/>
    <n v="1"/>
    <n v="0.14000000000000001"/>
    <n v="0.16669999999999999"/>
    <n v="0.63"/>
    <n v="0.1045"/>
    <n v="1"/>
    <n v="2"/>
    <n v="3"/>
    <x v="0"/>
  </r>
  <r>
    <n v="332"/>
    <d v="2011-01-15T00:00:00"/>
    <n v="1"/>
    <n v="0"/>
    <n v="1"/>
    <x v="7"/>
    <b v="0"/>
    <n v="6"/>
    <n v="1"/>
    <n v="0.14000000000000001"/>
    <n v="0.21210000000000001"/>
    <n v="0.63"/>
    <n v="0"/>
    <n v="1"/>
    <n v="9"/>
    <n v="10"/>
    <x v="0"/>
  </r>
  <r>
    <n v="333"/>
    <d v="2011-01-15T00:00:00"/>
    <n v="1"/>
    <n v="0"/>
    <n v="1"/>
    <x v="8"/>
    <b v="0"/>
    <n v="6"/>
    <n v="1"/>
    <n v="0.14000000000000001"/>
    <n v="0.1515"/>
    <n v="0.63"/>
    <n v="0.1343"/>
    <n v="1"/>
    <n v="22"/>
    <n v="23"/>
    <x v="0"/>
  </r>
  <r>
    <n v="334"/>
    <d v="2011-01-15T00:00:00"/>
    <n v="1"/>
    <n v="0"/>
    <n v="1"/>
    <x v="9"/>
    <b v="0"/>
    <n v="6"/>
    <n v="1"/>
    <n v="0.16"/>
    <n v="0.18179999999999999"/>
    <n v="0.64"/>
    <n v="0.1343"/>
    <n v="2"/>
    <n v="31"/>
    <n v="33"/>
    <x v="0"/>
  </r>
  <r>
    <n v="335"/>
    <d v="2011-01-15T00:00:00"/>
    <n v="1"/>
    <n v="0"/>
    <n v="1"/>
    <x v="10"/>
    <b v="0"/>
    <n v="6"/>
    <n v="1"/>
    <n v="0.18"/>
    <n v="0.19700000000000001"/>
    <n v="0.59"/>
    <n v="0.16420000000000001"/>
    <n v="2"/>
    <n v="57"/>
    <n v="59"/>
    <x v="0"/>
  </r>
  <r>
    <n v="336"/>
    <d v="2011-01-15T00:00:00"/>
    <n v="1"/>
    <n v="0"/>
    <n v="1"/>
    <x v="11"/>
    <b v="0"/>
    <n v="6"/>
    <n v="1"/>
    <n v="0.2"/>
    <n v="0.19700000000000001"/>
    <n v="0.55000000000000004"/>
    <n v="0.22389999999999999"/>
    <n v="18"/>
    <n v="54"/>
    <n v="72"/>
    <x v="0"/>
  </r>
  <r>
    <n v="337"/>
    <d v="2011-01-15T00:00:00"/>
    <n v="1"/>
    <n v="0"/>
    <n v="1"/>
    <x v="12"/>
    <b v="0"/>
    <n v="6"/>
    <n v="1"/>
    <n v="0.24"/>
    <n v="0.2273"/>
    <n v="0.48"/>
    <n v="0.22389999999999999"/>
    <n v="15"/>
    <n v="74"/>
    <n v="89"/>
    <x v="0"/>
  </r>
  <r>
    <n v="338"/>
    <d v="2011-01-15T00:00:00"/>
    <n v="1"/>
    <n v="0"/>
    <n v="1"/>
    <x v="13"/>
    <b v="0"/>
    <n v="6"/>
    <n v="1"/>
    <n v="0.28000000000000003"/>
    <n v="0.2576"/>
    <n v="0.38"/>
    <n v="0.29849999999999999"/>
    <n v="21"/>
    <n v="80"/>
    <n v="101"/>
    <x v="0"/>
  </r>
  <r>
    <n v="339"/>
    <d v="2011-01-15T00:00:00"/>
    <n v="1"/>
    <n v="0"/>
    <n v="1"/>
    <x v="14"/>
    <b v="0"/>
    <n v="6"/>
    <n v="1"/>
    <n v="0.3"/>
    <n v="0.28789999999999999"/>
    <n v="0.39"/>
    <n v="0.28360000000000002"/>
    <n v="26"/>
    <n v="92"/>
    <n v="118"/>
    <x v="0"/>
  </r>
  <r>
    <n v="340"/>
    <d v="2011-01-15T00:00:00"/>
    <n v="1"/>
    <n v="0"/>
    <n v="1"/>
    <x v="15"/>
    <b v="0"/>
    <n v="6"/>
    <n v="2"/>
    <n v="0.32"/>
    <n v="0.31819999999999998"/>
    <n v="0.36"/>
    <n v="0.19400000000000001"/>
    <n v="21"/>
    <n v="108"/>
    <n v="129"/>
    <x v="0"/>
  </r>
  <r>
    <n v="341"/>
    <d v="2011-01-15T00:00:00"/>
    <n v="1"/>
    <n v="0"/>
    <n v="1"/>
    <x v="16"/>
    <b v="0"/>
    <n v="6"/>
    <n v="2"/>
    <n v="0.34"/>
    <n v="0.33329999999999999"/>
    <n v="0.34"/>
    <n v="0.19400000000000001"/>
    <n v="33"/>
    <n v="95"/>
    <n v="128"/>
    <x v="0"/>
  </r>
  <r>
    <n v="342"/>
    <d v="2011-01-15T00:00:00"/>
    <n v="1"/>
    <n v="0"/>
    <n v="1"/>
    <x v="17"/>
    <b v="0"/>
    <n v="6"/>
    <n v="2"/>
    <n v="0.32"/>
    <n v="0.30299999999999999"/>
    <n v="0.36"/>
    <n v="0.28360000000000002"/>
    <n v="29"/>
    <n v="54"/>
    <n v="83"/>
    <x v="0"/>
  </r>
  <r>
    <n v="343"/>
    <d v="2011-01-15T00:00:00"/>
    <n v="1"/>
    <n v="0"/>
    <n v="1"/>
    <x v="18"/>
    <b v="0"/>
    <n v="6"/>
    <n v="2"/>
    <n v="0.3"/>
    <n v="0.28789999999999999"/>
    <n v="0.45"/>
    <n v="0.25369999999999998"/>
    <n v="15"/>
    <n v="69"/>
    <n v="84"/>
    <x v="0"/>
  </r>
  <r>
    <n v="344"/>
    <d v="2011-01-15T00:00:00"/>
    <n v="1"/>
    <n v="0"/>
    <n v="1"/>
    <x v="19"/>
    <b v="0"/>
    <n v="6"/>
    <n v="2"/>
    <n v="0.32"/>
    <n v="0.30299999999999999"/>
    <n v="0.39"/>
    <n v="0.25369999999999998"/>
    <n v="14"/>
    <n v="60"/>
    <n v="74"/>
    <x v="0"/>
  </r>
  <r>
    <n v="345"/>
    <d v="2011-01-15T00:00:00"/>
    <n v="1"/>
    <n v="0"/>
    <n v="1"/>
    <x v="20"/>
    <b v="0"/>
    <n v="6"/>
    <n v="2"/>
    <n v="0.32"/>
    <n v="0.30299999999999999"/>
    <n v="0.39"/>
    <n v="0.25369999999999998"/>
    <n v="6"/>
    <n v="35"/>
    <n v="41"/>
    <x v="0"/>
  </r>
  <r>
    <n v="346"/>
    <d v="2011-01-15T00:00:00"/>
    <n v="1"/>
    <n v="0"/>
    <n v="1"/>
    <x v="21"/>
    <b v="0"/>
    <n v="6"/>
    <n v="2"/>
    <n v="0.32"/>
    <n v="0.30299999999999999"/>
    <n v="0.39"/>
    <n v="0.22389999999999999"/>
    <n v="6"/>
    <n v="51"/>
    <n v="57"/>
    <x v="0"/>
  </r>
  <r>
    <n v="347"/>
    <d v="2011-01-15T00:00:00"/>
    <n v="1"/>
    <n v="0"/>
    <n v="1"/>
    <x v="22"/>
    <b v="0"/>
    <n v="6"/>
    <n v="2"/>
    <n v="0.3"/>
    <n v="0.31819999999999998"/>
    <n v="0.42"/>
    <n v="0.1045"/>
    <n v="0"/>
    <n v="26"/>
    <n v="26"/>
    <x v="0"/>
  </r>
  <r>
    <n v="348"/>
    <d v="2011-01-15T00:00:00"/>
    <n v="1"/>
    <n v="0"/>
    <n v="1"/>
    <x v="23"/>
    <b v="0"/>
    <n v="6"/>
    <n v="1"/>
    <n v="0.3"/>
    <n v="0.28789999999999999"/>
    <n v="0.45"/>
    <n v="0.28360000000000002"/>
    <n v="5"/>
    <n v="39"/>
    <n v="44"/>
    <x v="0"/>
  </r>
  <r>
    <n v="349"/>
    <d v="2011-01-16T00:00:00"/>
    <n v="1"/>
    <n v="0"/>
    <n v="1"/>
    <x v="0"/>
    <b v="0"/>
    <n v="0"/>
    <n v="1"/>
    <n v="0.26"/>
    <n v="0.30299999999999999"/>
    <n v="0.56000000000000005"/>
    <n v="0"/>
    <n v="6"/>
    <n v="33"/>
    <n v="39"/>
    <x v="1"/>
  </r>
  <r>
    <n v="350"/>
    <d v="2011-01-16T00:00:00"/>
    <n v="1"/>
    <n v="0"/>
    <n v="1"/>
    <x v="1"/>
    <b v="0"/>
    <n v="0"/>
    <n v="1"/>
    <n v="0.26"/>
    <n v="0.2727"/>
    <n v="0.56000000000000005"/>
    <n v="0.1343"/>
    <n v="4"/>
    <n v="19"/>
    <n v="23"/>
    <x v="1"/>
  </r>
  <r>
    <n v="351"/>
    <d v="2011-01-16T00:00:00"/>
    <n v="1"/>
    <n v="0"/>
    <n v="1"/>
    <x v="2"/>
    <b v="0"/>
    <n v="0"/>
    <n v="1"/>
    <n v="0.26"/>
    <n v="0.28789999999999999"/>
    <n v="0.56000000000000005"/>
    <n v="8.9599999999999999E-2"/>
    <n v="3"/>
    <n v="13"/>
    <n v="16"/>
    <x v="1"/>
  </r>
  <r>
    <n v="352"/>
    <d v="2011-01-16T00:00:00"/>
    <n v="1"/>
    <n v="0"/>
    <n v="1"/>
    <x v="3"/>
    <b v="0"/>
    <n v="0"/>
    <n v="1"/>
    <n v="0.22"/>
    <n v="0.2727"/>
    <n v="0.69"/>
    <n v="0"/>
    <n v="9"/>
    <n v="6"/>
    <n v="15"/>
    <x v="1"/>
  </r>
  <r>
    <n v="353"/>
    <d v="2011-01-16T00:00:00"/>
    <n v="1"/>
    <n v="0"/>
    <n v="1"/>
    <x v="4"/>
    <b v="0"/>
    <n v="0"/>
    <n v="1"/>
    <n v="0.26"/>
    <n v="0.2576"/>
    <n v="0.56000000000000005"/>
    <n v="0.16420000000000001"/>
    <n v="0"/>
    <n v="1"/>
    <n v="1"/>
    <x v="1"/>
  </r>
  <r>
    <n v="354"/>
    <d v="2011-01-16T00:00:00"/>
    <n v="1"/>
    <n v="0"/>
    <n v="1"/>
    <x v="5"/>
    <b v="0"/>
    <n v="0"/>
    <n v="2"/>
    <n v="0.26"/>
    <n v="0.2576"/>
    <n v="0.56000000000000005"/>
    <n v="0.16420000000000001"/>
    <n v="1"/>
    <n v="1"/>
    <n v="2"/>
    <x v="1"/>
  </r>
  <r>
    <n v="355"/>
    <d v="2011-01-16T00:00:00"/>
    <n v="1"/>
    <n v="0"/>
    <n v="1"/>
    <x v="6"/>
    <b v="0"/>
    <n v="0"/>
    <n v="2"/>
    <n v="0.26"/>
    <n v="0.2576"/>
    <n v="0.56000000000000005"/>
    <n v="0.16420000000000001"/>
    <n v="0"/>
    <n v="1"/>
    <n v="1"/>
    <x v="1"/>
  </r>
  <r>
    <n v="356"/>
    <d v="2011-01-16T00:00:00"/>
    <n v="1"/>
    <n v="0"/>
    <n v="1"/>
    <x v="7"/>
    <b v="0"/>
    <n v="0"/>
    <n v="2"/>
    <n v="0.24"/>
    <n v="0.21210000000000001"/>
    <n v="0.56000000000000005"/>
    <n v="0.29849999999999999"/>
    <n v="0"/>
    <n v="3"/>
    <n v="3"/>
    <x v="1"/>
  </r>
  <r>
    <n v="357"/>
    <d v="2011-01-16T00:00:00"/>
    <n v="1"/>
    <n v="0"/>
    <n v="1"/>
    <x v="8"/>
    <b v="0"/>
    <n v="0"/>
    <n v="1"/>
    <n v="0.22"/>
    <n v="0.21210000000000001"/>
    <n v="0.55000000000000004"/>
    <n v="0.28360000000000002"/>
    <n v="0"/>
    <n v="18"/>
    <n v="18"/>
    <x v="1"/>
  </r>
  <r>
    <n v="358"/>
    <d v="2011-01-16T00:00:00"/>
    <n v="1"/>
    <n v="0"/>
    <n v="1"/>
    <x v="9"/>
    <b v="0"/>
    <n v="0"/>
    <n v="1"/>
    <n v="0.22"/>
    <n v="0.21210000000000001"/>
    <n v="0.51"/>
    <n v="0.25369999999999998"/>
    <n v="3"/>
    <n v="29"/>
    <n v="32"/>
    <x v="1"/>
  </r>
  <r>
    <n v="359"/>
    <d v="2011-01-16T00:00:00"/>
    <n v="1"/>
    <n v="0"/>
    <n v="1"/>
    <x v="10"/>
    <b v="0"/>
    <n v="0"/>
    <n v="1"/>
    <n v="0.22"/>
    <n v="0.21210000000000001"/>
    <n v="0.51"/>
    <n v="0.28360000000000002"/>
    <n v="8"/>
    <n v="71"/>
    <n v="79"/>
    <x v="1"/>
  </r>
  <r>
    <n v="360"/>
    <d v="2011-01-16T00:00:00"/>
    <n v="1"/>
    <n v="0"/>
    <n v="1"/>
    <x v="11"/>
    <b v="0"/>
    <n v="0"/>
    <n v="1"/>
    <n v="0.24"/>
    <n v="0.2273"/>
    <n v="0.44"/>
    <n v="0.25369999999999998"/>
    <n v="23"/>
    <n v="70"/>
    <n v="93"/>
    <x v="1"/>
  </r>
  <r>
    <n v="361"/>
    <d v="2011-01-16T00:00:00"/>
    <n v="1"/>
    <n v="0"/>
    <n v="1"/>
    <x v="12"/>
    <b v="0"/>
    <n v="0"/>
    <n v="1"/>
    <n v="0.24"/>
    <n v="0.21210000000000001"/>
    <n v="0.41"/>
    <n v="0.28360000000000002"/>
    <n v="29"/>
    <n v="75"/>
    <n v="104"/>
    <x v="1"/>
  </r>
  <r>
    <n v="362"/>
    <d v="2011-01-16T00:00:00"/>
    <n v="1"/>
    <n v="0"/>
    <n v="1"/>
    <x v="13"/>
    <b v="0"/>
    <n v="0"/>
    <n v="1"/>
    <n v="0.26"/>
    <n v="0.2273"/>
    <n v="0.35"/>
    <n v="0.29849999999999999"/>
    <n v="23"/>
    <n v="95"/>
    <n v="118"/>
    <x v="1"/>
  </r>
  <r>
    <n v="363"/>
    <d v="2011-01-16T00:00:00"/>
    <n v="1"/>
    <n v="0"/>
    <n v="1"/>
    <x v="14"/>
    <b v="0"/>
    <n v="0"/>
    <n v="1"/>
    <n v="0.28000000000000003"/>
    <n v="0.2727"/>
    <n v="0.36"/>
    <n v="0.25369999999999998"/>
    <n v="22"/>
    <n v="69"/>
    <n v="91"/>
    <x v="1"/>
  </r>
  <r>
    <n v="364"/>
    <d v="2011-01-16T00:00:00"/>
    <n v="1"/>
    <n v="0"/>
    <n v="1"/>
    <x v="15"/>
    <b v="0"/>
    <n v="0"/>
    <n v="1"/>
    <n v="0.26"/>
    <n v="0.2424"/>
    <n v="0.38"/>
    <n v="0.25369999999999998"/>
    <n v="35"/>
    <n v="78"/>
    <n v="113"/>
    <x v="1"/>
  </r>
  <r>
    <n v="365"/>
    <d v="2011-01-16T00:00:00"/>
    <n v="1"/>
    <n v="0"/>
    <n v="1"/>
    <x v="16"/>
    <b v="0"/>
    <n v="0"/>
    <n v="1"/>
    <n v="0.24"/>
    <n v="0.2273"/>
    <n v="0.38"/>
    <n v="0.22389999999999999"/>
    <n v="22"/>
    <n v="77"/>
    <n v="99"/>
    <x v="1"/>
  </r>
  <r>
    <n v="366"/>
    <d v="2011-01-16T00:00:00"/>
    <n v="1"/>
    <n v="0"/>
    <n v="1"/>
    <x v="17"/>
    <b v="0"/>
    <n v="0"/>
    <n v="1"/>
    <n v="0.22"/>
    <n v="0.21210000000000001"/>
    <n v="0.37"/>
    <n v="0.25369999999999998"/>
    <n v="23"/>
    <n v="82"/>
    <n v="105"/>
    <x v="1"/>
  </r>
  <r>
    <n v="367"/>
    <d v="2011-01-16T00:00:00"/>
    <n v="1"/>
    <n v="0"/>
    <n v="1"/>
    <x v="18"/>
    <b v="0"/>
    <n v="0"/>
    <n v="1"/>
    <n v="0.2"/>
    <n v="0.21210000000000001"/>
    <n v="0.4"/>
    <n v="0.16420000000000001"/>
    <n v="11"/>
    <n v="56"/>
    <n v="67"/>
    <x v="1"/>
  </r>
  <r>
    <n v="368"/>
    <d v="2011-01-16T00:00:00"/>
    <n v="1"/>
    <n v="0"/>
    <n v="1"/>
    <x v="19"/>
    <b v="0"/>
    <n v="0"/>
    <n v="1"/>
    <n v="0.18"/>
    <n v="0.19700000000000001"/>
    <n v="0.47"/>
    <n v="0.1343"/>
    <n v="14"/>
    <n v="47"/>
    <n v="61"/>
    <x v="1"/>
  </r>
  <r>
    <n v="369"/>
    <d v="2011-01-16T00:00:00"/>
    <n v="1"/>
    <n v="0"/>
    <n v="1"/>
    <x v="20"/>
    <b v="0"/>
    <n v="0"/>
    <n v="1"/>
    <n v="0.18"/>
    <n v="0.19700000000000001"/>
    <n v="0.47"/>
    <n v="0.16420000000000001"/>
    <n v="7"/>
    <n v="50"/>
    <n v="57"/>
    <x v="1"/>
  </r>
  <r>
    <n v="370"/>
    <d v="2011-01-16T00:00:00"/>
    <n v="1"/>
    <n v="0"/>
    <n v="1"/>
    <x v="21"/>
    <b v="0"/>
    <n v="0"/>
    <n v="1"/>
    <n v="0.18"/>
    <n v="0.19700000000000001"/>
    <n v="0.51"/>
    <n v="0.16420000000000001"/>
    <n v="6"/>
    <n v="22"/>
    <n v="28"/>
    <x v="1"/>
  </r>
  <r>
    <n v="371"/>
    <d v="2011-01-16T00:00:00"/>
    <n v="1"/>
    <n v="0"/>
    <n v="1"/>
    <x v="22"/>
    <b v="0"/>
    <n v="0"/>
    <n v="2"/>
    <n v="0.2"/>
    <n v="0.21210000000000001"/>
    <n v="0.49"/>
    <n v="0.1343"/>
    <n v="2"/>
    <n v="19"/>
    <n v="21"/>
    <x v="1"/>
  </r>
  <r>
    <n v="372"/>
    <d v="2011-01-16T00:00:00"/>
    <n v="1"/>
    <n v="0"/>
    <n v="1"/>
    <x v="23"/>
    <b v="0"/>
    <n v="0"/>
    <n v="2"/>
    <n v="0.2"/>
    <n v="0.2273"/>
    <n v="0.4"/>
    <n v="0.1045"/>
    <n v="0"/>
    <n v="18"/>
    <n v="18"/>
    <x v="1"/>
  </r>
  <r>
    <n v="373"/>
    <d v="2011-01-17T00:00:00"/>
    <n v="1"/>
    <n v="0"/>
    <n v="1"/>
    <x v="0"/>
    <b v="1"/>
    <n v="1"/>
    <n v="2"/>
    <n v="0.2"/>
    <n v="0.19700000000000001"/>
    <n v="0.47"/>
    <n v="0.22389999999999999"/>
    <n v="1"/>
    <n v="16"/>
    <n v="17"/>
    <x v="2"/>
  </r>
  <r>
    <n v="374"/>
    <d v="2011-01-17T00:00:00"/>
    <n v="1"/>
    <n v="0"/>
    <n v="1"/>
    <x v="1"/>
    <b v="1"/>
    <n v="1"/>
    <n v="2"/>
    <n v="0.2"/>
    <n v="0.19700000000000001"/>
    <n v="0.44"/>
    <n v="0.19400000000000001"/>
    <n v="1"/>
    <n v="15"/>
    <n v="16"/>
    <x v="2"/>
  </r>
  <r>
    <n v="375"/>
    <d v="2011-01-17T00:00:00"/>
    <n v="1"/>
    <n v="0"/>
    <n v="1"/>
    <x v="2"/>
    <b v="1"/>
    <n v="1"/>
    <n v="2"/>
    <n v="0.18"/>
    <n v="0.16669999999999999"/>
    <n v="0.43"/>
    <n v="0.25369999999999998"/>
    <n v="0"/>
    <n v="8"/>
    <n v="8"/>
    <x v="2"/>
  </r>
  <r>
    <n v="376"/>
    <d v="2011-01-17T00:00:00"/>
    <n v="1"/>
    <n v="0"/>
    <n v="1"/>
    <x v="3"/>
    <b v="1"/>
    <n v="1"/>
    <n v="2"/>
    <n v="0.18"/>
    <n v="0.18179999999999999"/>
    <n v="0.43"/>
    <n v="0.19400000000000001"/>
    <n v="0"/>
    <n v="2"/>
    <n v="2"/>
    <x v="2"/>
  </r>
  <r>
    <n v="377"/>
    <d v="2011-01-17T00:00:00"/>
    <n v="1"/>
    <n v="0"/>
    <n v="1"/>
    <x v="4"/>
    <b v="1"/>
    <n v="1"/>
    <n v="2"/>
    <n v="0.18"/>
    <n v="0.19700000000000001"/>
    <n v="0.43"/>
    <n v="0.1343"/>
    <n v="1"/>
    <n v="2"/>
    <n v="3"/>
    <x v="2"/>
  </r>
  <r>
    <n v="378"/>
    <d v="2011-01-17T00:00:00"/>
    <n v="1"/>
    <n v="0"/>
    <n v="1"/>
    <x v="5"/>
    <b v="1"/>
    <n v="1"/>
    <n v="2"/>
    <n v="0.18"/>
    <n v="0.19700000000000001"/>
    <n v="0.43"/>
    <n v="0.16420000000000001"/>
    <n v="0"/>
    <n v="1"/>
    <n v="1"/>
    <x v="2"/>
  </r>
  <r>
    <n v="379"/>
    <d v="2011-01-17T00:00:00"/>
    <n v="1"/>
    <n v="0"/>
    <n v="1"/>
    <x v="6"/>
    <b v="1"/>
    <n v="1"/>
    <n v="2"/>
    <n v="0.18"/>
    <n v="0.18179999999999999"/>
    <n v="0.43"/>
    <n v="0.19400000000000001"/>
    <n v="0"/>
    <n v="5"/>
    <n v="5"/>
    <x v="2"/>
  </r>
  <r>
    <n v="380"/>
    <d v="2011-01-17T00:00:00"/>
    <n v="1"/>
    <n v="0"/>
    <n v="1"/>
    <x v="7"/>
    <b v="1"/>
    <n v="1"/>
    <n v="2"/>
    <n v="0.16"/>
    <n v="0.18179999999999999"/>
    <n v="0.5"/>
    <n v="0.1343"/>
    <n v="4"/>
    <n v="9"/>
    <n v="13"/>
    <x v="2"/>
  </r>
  <r>
    <n v="381"/>
    <d v="2011-01-17T00:00:00"/>
    <n v="1"/>
    <n v="0"/>
    <n v="1"/>
    <x v="8"/>
    <b v="1"/>
    <n v="1"/>
    <n v="2"/>
    <n v="0.16"/>
    <n v="0.1515"/>
    <n v="0.47"/>
    <n v="0.22389999999999999"/>
    <n v="3"/>
    <n v="30"/>
    <n v="33"/>
    <x v="2"/>
  </r>
  <r>
    <n v="382"/>
    <d v="2011-01-17T00:00:00"/>
    <n v="1"/>
    <n v="0"/>
    <n v="1"/>
    <x v="9"/>
    <b v="1"/>
    <n v="1"/>
    <n v="2"/>
    <n v="0.16"/>
    <n v="0.1515"/>
    <n v="0.47"/>
    <n v="0.22389999999999999"/>
    <n v="8"/>
    <n v="39"/>
    <n v="47"/>
    <x v="2"/>
  </r>
  <r>
    <n v="383"/>
    <d v="2011-01-17T00:00:00"/>
    <n v="1"/>
    <n v="0"/>
    <n v="1"/>
    <x v="10"/>
    <b v="1"/>
    <n v="1"/>
    <n v="2"/>
    <n v="0.16"/>
    <n v="0.1515"/>
    <n v="0.5"/>
    <n v="0.25369999999999998"/>
    <n v="7"/>
    <n v="50"/>
    <n v="57"/>
    <x v="2"/>
  </r>
  <r>
    <n v="384"/>
    <d v="2011-01-17T00:00:00"/>
    <n v="1"/>
    <n v="0"/>
    <n v="1"/>
    <x v="11"/>
    <b v="1"/>
    <n v="1"/>
    <n v="2"/>
    <n v="0.16"/>
    <n v="0.1515"/>
    <n v="0.55000000000000004"/>
    <n v="0.19400000000000001"/>
    <n v="9"/>
    <n v="55"/>
    <n v="64"/>
    <x v="2"/>
  </r>
  <r>
    <n v="385"/>
    <d v="2011-01-17T00:00:00"/>
    <n v="1"/>
    <n v="0"/>
    <n v="1"/>
    <x v="12"/>
    <b v="1"/>
    <n v="1"/>
    <n v="2"/>
    <n v="0.18"/>
    <n v="0.19700000000000001"/>
    <n v="0.47"/>
    <n v="0.1343"/>
    <n v="10"/>
    <n v="70"/>
    <n v="80"/>
    <x v="2"/>
  </r>
  <r>
    <n v="386"/>
    <d v="2011-01-17T00:00:00"/>
    <n v="1"/>
    <n v="0"/>
    <n v="1"/>
    <x v="13"/>
    <b v="1"/>
    <n v="1"/>
    <n v="2"/>
    <n v="0.18"/>
    <n v="0.19700000000000001"/>
    <n v="0.47"/>
    <n v="0.1343"/>
    <n v="13"/>
    <n v="80"/>
    <n v="93"/>
    <x v="2"/>
  </r>
  <r>
    <n v="387"/>
    <d v="2011-01-17T00:00:00"/>
    <n v="1"/>
    <n v="0"/>
    <n v="1"/>
    <x v="14"/>
    <b v="1"/>
    <n v="1"/>
    <n v="2"/>
    <n v="0.18"/>
    <n v="0.21210000000000001"/>
    <n v="0.43"/>
    <n v="0.1045"/>
    <n v="12"/>
    <n v="74"/>
    <n v="86"/>
    <x v="2"/>
  </r>
  <r>
    <n v="388"/>
    <d v="2011-01-17T00:00:00"/>
    <n v="1"/>
    <n v="0"/>
    <n v="1"/>
    <x v="15"/>
    <b v="1"/>
    <n v="1"/>
    <n v="2"/>
    <n v="0.2"/>
    <n v="0.21210000000000001"/>
    <n v="0.47"/>
    <n v="0.16420000000000001"/>
    <n v="21"/>
    <n v="72"/>
    <n v="93"/>
    <x v="2"/>
  </r>
  <r>
    <n v="389"/>
    <d v="2011-01-17T00:00:00"/>
    <n v="1"/>
    <n v="0"/>
    <n v="1"/>
    <x v="16"/>
    <b v="1"/>
    <n v="1"/>
    <n v="2"/>
    <n v="0.2"/>
    <n v="0.21210000000000001"/>
    <n v="0.47"/>
    <n v="0.16420000000000001"/>
    <n v="6"/>
    <n v="76"/>
    <n v="82"/>
    <x v="2"/>
  </r>
  <r>
    <n v="390"/>
    <d v="2011-01-17T00:00:00"/>
    <n v="1"/>
    <n v="0"/>
    <n v="1"/>
    <x v="17"/>
    <b v="1"/>
    <n v="1"/>
    <n v="1"/>
    <n v="0.2"/>
    <n v="0.19700000000000001"/>
    <n v="0.51"/>
    <n v="0.19400000000000001"/>
    <n v="4"/>
    <n v="67"/>
    <n v="71"/>
    <x v="2"/>
  </r>
  <r>
    <n v="391"/>
    <d v="2011-01-17T00:00:00"/>
    <n v="1"/>
    <n v="0"/>
    <n v="1"/>
    <x v="18"/>
    <b v="1"/>
    <n v="1"/>
    <n v="2"/>
    <n v="0.18"/>
    <n v="0.16669999999999999"/>
    <n v="0.55000000000000004"/>
    <n v="0.25369999999999998"/>
    <n v="7"/>
    <n v="85"/>
    <n v="92"/>
    <x v="2"/>
  </r>
  <r>
    <n v="392"/>
    <d v="2011-01-17T00:00:00"/>
    <n v="1"/>
    <n v="0"/>
    <n v="1"/>
    <x v="19"/>
    <b v="1"/>
    <n v="1"/>
    <n v="3"/>
    <n v="0.18"/>
    <n v="0.18179999999999999"/>
    <n v="0.59"/>
    <n v="0.19400000000000001"/>
    <n v="2"/>
    <n v="58"/>
    <n v="60"/>
    <x v="2"/>
  </r>
  <r>
    <n v="393"/>
    <d v="2011-01-17T00:00:00"/>
    <n v="1"/>
    <n v="0"/>
    <n v="1"/>
    <x v="20"/>
    <b v="1"/>
    <n v="1"/>
    <n v="3"/>
    <n v="0.16"/>
    <n v="0.1515"/>
    <n v="0.8"/>
    <n v="0.19400000000000001"/>
    <n v="4"/>
    <n v="29"/>
    <n v="33"/>
    <x v="2"/>
  </r>
  <r>
    <n v="394"/>
    <d v="2011-01-17T00:00:00"/>
    <n v="1"/>
    <n v="0"/>
    <n v="1"/>
    <x v="21"/>
    <b v="1"/>
    <n v="1"/>
    <n v="3"/>
    <n v="0.16"/>
    <n v="0.1515"/>
    <n v="0.8"/>
    <n v="0.19400000000000001"/>
    <n v="3"/>
    <n v="24"/>
    <n v="27"/>
    <x v="2"/>
  </r>
  <r>
    <n v="395"/>
    <d v="2011-01-17T00:00:00"/>
    <n v="1"/>
    <n v="0"/>
    <n v="1"/>
    <x v="22"/>
    <b v="1"/>
    <n v="1"/>
    <n v="3"/>
    <n v="0.14000000000000001"/>
    <n v="0.1212"/>
    <n v="0.93"/>
    <n v="0.25369999999999998"/>
    <n v="0"/>
    <n v="13"/>
    <n v="13"/>
    <x v="2"/>
  </r>
  <r>
    <n v="396"/>
    <d v="2011-01-17T00:00:00"/>
    <n v="1"/>
    <n v="0"/>
    <n v="1"/>
    <x v="23"/>
    <b v="1"/>
    <n v="1"/>
    <n v="3"/>
    <n v="0.16"/>
    <n v="0.13639999999999999"/>
    <n v="0.86"/>
    <n v="0.28360000000000002"/>
    <n v="1"/>
    <n v="3"/>
    <n v="4"/>
    <x v="2"/>
  </r>
  <r>
    <n v="397"/>
    <d v="2011-01-18T00:00:00"/>
    <n v="1"/>
    <n v="0"/>
    <n v="1"/>
    <x v="12"/>
    <b v="0"/>
    <n v="2"/>
    <n v="2"/>
    <n v="0.2"/>
    <n v="0.18179999999999999"/>
    <n v="0.86"/>
    <n v="0.32840000000000003"/>
    <n v="0"/>
    <n v="3"/>
    <n v="3"/>
    <x v="3"/>
  </r>
  <r>
    <n v="398"/>
    <d v="2011-01-18T00:00:00"/>
    <n v="1"/>
    <n v="0"/>
    <n v="1"/>
    <x v="13"/>
    <b v="0"/>
    <n v="2"/>
    <n v="2"/>
    <n v="0.2"/>
    <n v="0.19700000000000001"/>
    <n v="0.86"/>
    <n v="0.22389999999999999"/>
    <n v="0"/>
    <n v="22"/>
    <n v="22"/>
    <x v="3"/>
  </r>
  <r>
    <n v="399"/>
    <d v="2011-01-18T00:00:00"/>
    <n v="1"/>
    <n v="0"/>
    <n v="1"/>
    <x v="14"/>
    <b v="0"/>
    <n v="2"/>
    <n v="2"/>
    <n v="0.22"/>
    <n v="0.2273"/>
    <n v="0.8"/>
    <n v="0.16420000000000001"/>
    <n v="2"/>
    <n v="26"/>
    <n v="28"/>
    <x v="3"/>
  </r>
  <r>
    <n v="400"/>
    <d v="2011-01-18T00:00:00"/>
    <n v="1"/>
    <n v="0"/>
    <n v="1"/>
    <x v="15"/>
    <b v="0"/>
    <n v="2"/>
    <n v="2"/>
    <n v="0.22"/>
    <n v="0.2273"/>
    <n v="0.87"/>
    <n v="0.16420000000000001"/>
    <n v="3"/>
    <n v="32"/>
    <n v="35"/>
    <x v="3"/>
  </r>
  <r>
    <n v="401"/>
    <d v="2011-01-18T00:00:00"/>
    <n v="1"/>
    <n v="0"/>
    <n v="1"/>
    <x v="16"/>
    <b v="0"/>
    <n v="2"/>
    <n v="2"/>
    <n v="0.22"/>
    <n v="0.2273"/>
    <n v="0.87"/>
    <n v="0.19400000000000001"/>
    <n v="0"/>
    <n v="61"/>
    <n v="61"/>
    <x v="3"/>
  </r>
  <r>
    <n v="402"/>
    <d v="2011-01-18T00:00:00"/>
    <n v="1"/>
    <n v="0"/>
    <n v="1"/>
    <x v="17"/>
    <b v="0"/>
    <n v="2"/>
    <n v="2"/>
    <n v="0.22"/>
    <n v="0.2273"/>
    <n v="0.82"/>
    <n v="0.19400000000000001"/>
    <n v="1"/>
    <n v="124"/>
    <n v="125"/>
    <x v="3"/>
  </r>
  <r>
    <n v="403"/>
    <d v="2011-01-18T00:00:00"/>
    <n v="1"/>
    <n v="0"/>
    <n v="1"/>
    <x v="18"/>
    <b v="0"/>
    <n v="2"/>
    <n v="2"/>
    <n v="0.22"/>
    <n v="0.2273"/>
    <n v="0.8"/>
    <n v="0.16420000000000001"/>
    <n v="1"/>
    <n v="132"/>
    <n v="133"/>
    <x v="3"/>
  </r>
  <r>
    <n v="404"/>
    <d v="2011-01-18T00:00:00"/>
    <n v="1"/>
    <n v="0"/>
    <n v="1"/>
    <x v="19"/>
    <b v="0"/>
    <n v="2"/>
    <n v="2"/>
    <n v="0.22"/>
    <n v="0.2273"/>
    <n v="0.8"/>
    <n v="0.1343"/>
    <n v="1"/>
    <n v="98"/>
    <n v="99"/>
    <x v="3"/>
  </r>
  <r>
    <n v="405"/>
    <d v="2011-01-18T00:00:00"/>
    <n v="1"/>
    <n v="0"/>
    <n v="1"/>
    <x v="20"/>
    <b v="0"/>
    <n v="2"/>
    <n v="2"/>
    <n v="0.22"/>
    <n v="0.2727"/>
    <n v="0.87"/>
    <n v="0"/>
    <n v="0"/>
    <n v="83"/>
    <n v="83"/>
    <x v="3"/>
  </r>
  <r>
    <n v="406"/>
    <d v="2011-01-18T00:00:00"/>
    <n v="1"/>
    <n v="0"/>
    <n v="1"/>
    <x v="21"/>
    <b v="0"/>
    <n v="2"/>
    <n v="2"/>
    <n v="0.22"/>
    <n v="0.2424"/>
    <n v="0.93"/>
    <n v="0.1045"/>
    <n v="0"/>
    <n v="41"/>
    <n v="41"/>
    <x v="3"/>
  </r>
  <r>
    <n v="407"/>
    <d v="2011-01-18T00:00:00"/>
    <n v="1"/>
    <n v="0"/>
    <n v="1"/>
    <x v="22"/>
    <b v="0"/>
    <n v="2"/>
    <n v="2"/>
    <n v="0.22"/>
    <n v="0.2576"/>
    <n v="0.93"/>
    <n v="8.9599999999999999E-2"/>
    <n v="0"/>
    <n v="33"/>
    <n v="33"/>
    <x v="3"/>
  </r>
  <r>
    <n v="408"/>
    <d v="2011-01-18T00:00:00"/>
    <n v="1"/>
    <n v="0"/>
    <n v="1"/>
    <x v="23"/>
    <b v="0"/>
    <n v="2"/>
    <n v="2"/>
    <n v="0.22"/>
    <n v="0.2727"/>
    <n v="0.93"/>
    <n v="0"/>
    <n v="1"/>
    <n v="19"/>
    <n v="20"/>
    <x v="3"/>
  </r>
  <r>
    <n v="409"/>
    <d v="2011-01-19T00:00:00"/>
    <n v="1"/>
    <n v="0"/>
    <n v="1"/>
    <x v="0"/>
    <b v="0"/>
    <n v="3"/>
    <n v="2"/>
    <n v="0.22"/>
    <n v="0.2727"/>
    <n v="0.93"/>
    <n v="0"/>
    <n v="0"/>
    <n v="3"/>
    <n v="3"/>
    <x v="4"/>
  </r>
  <r>
    <n v="410"/>
    <d v="2011-01-19T00:00:00"/>
    <n v="1"/>
    <n v="0"/>
    <n v="1"/>
    <x v="1"/>
    <b v="0"/>
    <n v="3"/>
    <n v="3"/>
    <n v="0.22"/>
    <n v="0.2273"/>
    <n v="0.93"/>
    <n v="0.1343"/>
    <n v="1"/>
    <n v="6"/>
    <n v="7"/>
    <x v="4"/>
  </r>
  <r>
    <n v="411"/>
    <d v="2011-01-19T00:00:00"/>
    <n v="1"/>
    <n v="0"/>
    <n v="1"/>
    <x v="2"/>
    <b v="0"/>
    <n v="3"/>
    <n v="3"/>
    <n v="0.22"/>
    <n v="0.2273"/>
    <n v="0.93"/>
    <n v="0.1343"/>
    <n v="0"/>
    <n v="3"/>
    <n v="3"/>
    <x v="4"/>
  </r>
  <r>
    <n v="412"/>
    <d v="2011-01-19T00:00:00"/>
    <n v="1"/>
    <n v="0"/>
    <n v="1"/>
    <x v="4"/>
    <b v="0"/>
    <n v="3"/>
    <n v="3"/>
    <n v="0.22"/>
    <n v="0.2273"/>
    <n v="0.93"/>
    <n v="0.1343"/>
    <n v="1"/>
    <n v="1"/>
    <n v="2"/>
    <x v="4"/>
  </r>
  <r>
    <n v="413"/>
    <d v="2011-01-19T00:00:00"/>
    <n v="1"/>
    <n v="0"/>
    <n v="1"/>
    <x v="5"/>
    <b v="0"/>
    <n v="3"/>
    <n v="2"/>
    <n v="0.22"/>
    <n v="0.2576"/>
    <n v="0.93"/>
    <n v="8.9599999999999999E-2"/>
    <n v="0"/>
    <n v="7"/>
    <n v="7"/>
    <x v="4"/>
  </r>
  <r>
    <n v="414"/>
    <d v="2011-01-19T00:00:00"/>
    <n v="1"/>
    <n v="0"/>
    <n v="1"/>
    <x v="6"/>
    <b v="0"/>
    <n v="3"/>
    <n v="2"/>
    <n v="0.22"/>
    <n v="0.2576"/>
    <n v="0.93"/>
    <n v="8.9599999999999999E-2"/>
    <n v="0"/>
    <n v="32"/>
    <n v="32"/>
    <x v="4"/>
  </r>
  <r>
    <n v="415"/>
    <d v="2011-01-19T00:00:00"/>
    <n v="1"/>
    <n v="0"/>
    <n v="1"/>
    <x v="7"/>
    <b v="0"/>
    <n v="3"/>
    <n v="2"/>
    <n v="0.24"/>
    <n v="0.2576"/>
    <n v="0.92"/>
    <n v="0.1045"/>
    <n v="1"/>
    <n v="89"/>
    <n v="90"/>
    <x v="4"/>
  </r>
  <r>
    <n v="416"/>
    <d v="2011-01-19T00:00:00"/>
    <n v="1"/>
    <n v="0"/>
    <n v="1"/>
    <x v="8"/>
    <b v="0"/>
    <n v="3"/>
    <n v="2"/>
    <n v="0.24"/>
    <n v="0.2576"/>
    <n v="0.93"/>
    <n v="0.1045"/>
    <n v="1"/>
    <n v="196"/>
    <n v="197"/>
    <x v="4"/>
  </r>
  <r>
    <n v="417"/>
    <d v="2011-01-19T00:00:00"/>
    <n v="1"/>
    <n v="0"/>
    <n v="1"/>
    <x v="9"/>
    <b v="0"/>
    <n v="3"/>
    <n v="2"/>
    <n v="0.24"/>
    <n v="0.2576"/>
    <n v="0.93"/>
    <n v="0.1045"/>
    <n v="2"/>
    <n v="107"/>
    <n v="109"/>
    <x v="4"/>
  </r>
  <r>
    <n v="418"/>
    <d v="2011-01-19T00:00:00"/>
    <n v="1"/>
    <n v="0"/>
    <n v="1"/>
    <x v="10"/>
    <b v="0"/>
    <n v="3"/>
    <n v="2"/>
    <n v="0.26"/>
    <n v="0.2727"/>
    <n v="0.93"/>
    <n v="0.1343"/>
    <n v="1"/>
    <n v="46"/>
    <n v="47"/>
    <x v="4"/>
  </r>
  <r>
    <n v="419"/>
    <d v="2011-01-19T00:00:00"/>
    <n v="1"/>
    <n v="0"/>
    <n v="1"/>
    <x v="11"/>
    <b v="0"/>
    <n v="3"/>
    <n v="2"/>
    <n v="0.28000000000000003"/>
    <n v="0.30299999999999999"/>
    <n v="0.87"/>
    <n v="8.9599999999999999E-2"/>
    <n v="5"/>
    <n v="47"/>
    <n v="52"/>
    <x v="4"/>
  </r>
  <r>
    <n v="420"/>
    <d v="2011-01-19T00:00:00"/>
    <n v="1"/>
    <n v="0"/>
    <n v="1"/>
    <x v="12"/>
    <b v="0"/>
    <n v="3"/>
    <n v="2"/>
    <n v="0.3"/>
    <n v="0.31819999999999998"/>
    <n v="0.81"/>
    <n v="8.9599999999999999E-2"/>
    <n v="5"/>
    <n v="65"/>
    <n v="70"/>
    <x v="4"/>
  </r>
  <r>
    <n v="421"/>
    <d v="2011-01-19T00:00:00"/>
    <n v="1"/>
    <n v="0"/>
    <n v="1"/>
    <x v="13"/>
    <b v="0"/>
    <n v="3"/>
    <n v="1"/>
    <n v="0.4"/>
    <n v="0.40910000000000002"/>
    <n v="0.62"/>
    <n v="0.28360000000000002"/>
    <n v="11"/>
    <n v="67"/>
    <n v="78"/>
    <x v="4"/>
  </r>
  <r>
    <n v="422"/>
    <d v="2011-01-19T00:00:00"/>
    <n v="1"/>
    <n v="0"/>
    <n v="1"/>
    <x v="14"/>
    <b v="0"/>
    <n v="3"/>
    <n v="1"/>
    <n v="0.4"/>
    <n v="0.40910000000000002"/>
    <n v="0.57999999999999996"/>
    <n v="0.25369999999999998"/>
    <n v="7"/>
    <n v="68"/>
    <n v="75"/>
    <x v="4"/>
  </r>
  <r>
    <n v="423"/>
    <d v="2011-01-19T00:00:00"/>
    <n v="1"/>
    <n v="0"/>
    <n v="1"/>
    <x v="15"/>
    <b v="0"/>
    <n v="3"/>
    <n v="1"/>
    <n v="0.4"/>
    <n v="0.40910000000000002"/>
    <n v="0.54"/>
    <n v="0.28360000000000002"/>
    <n v="4"/>
    <n v="78"/>
    <n v="82"/>
    <x v="4"/>
  </r>
  <r>
    <n v="424"/>
    <d v="2011-01-19T00:00:00"/>
    <n v="1"/>
    <n v="0"/>
    <n v="1"/>
    <x v="16"/>
    <b v="0"/>
    <n v="3"/>
    <n v="1"/>
    <n v="0.38"/>
    <n v="0.39389999999999997"/>
    <n v="0.57999999999999996"/>
    <n v="0.3881"/>
    <n v="10"/>
    <n v="94"/>
    <n v="104"/>
    <x v="4"/>
  </r>
  <r>
    <n v="425"/>
    <d v="2011-01-19T00:00:00"/>
    <n v="1"/>
    <n v="0"/>
    <n v="1"/>
    <x v="17"/>
    <b v="0"/>
    <n v="3"/>
    <n v="1"/>
    <n v="0.36"/>
    <n v="0.33329999999999999"/>
    <n v="0.56999999999999995"/>
    <n v="0.32840000000000003"/>
    <n v="7"/>
    <n v="190"/>
    <n v="197"/>
    <x v="4"/>
  </r>
  <r>
    <n v="426"/>
    <d v="2011-01-19T00:00:00"/>
    <n v="1"/>
    <n v="0"/>
    <n v="1"/>
    <x v="18"/>
    <b v="0"/>
    <n v="3"/>
    <n v="1"/>
    <n v="0.34"/>
    <n v="0.31819999999999998"/>
    <n v="0.61"/>
    <n v="0.28360000000000002"/>
    <n v="5"/>
    <n v="156"/>
    <n v="161"/>
    <x v="4"/>
  </r>
  <r>
    <n v="427"/>
    <d v="2011-01-19T00:00:00"/>
    <n v="1"/>
    <n v="0"/>
    <n v="1"/>
    <x v="19"/>
    <b v="0"/>
    <n v="3"/>
    <n v="1"/>
    <n v="0.32"/>
    <n v="0.28789999999999999"/>
    <n v="0.56999999999999995"/>
    <n v="0.41789999999999999"/>
    <n v="4"/>
    <n v="108"/>
    <n v="112"/>
    <x v="4"/>
  </r>
  <r>
    <n v="428"/>
    <d v="2011-01-19T00:00:00"/>
    <n v="1"/>
    <n v="0"/>
    <n v="1"/>
    <x v="20"/>
    <b v="0"/>
    <n v="3"/>
    <n v="1"/>
    <n v="0.32"/>
    <n v="0.30299999999999999"/>
    <n v="0.49"/>
    <n v="0.29849999999999999"/>
    <n v="2"/>
    <n v="74"/>
    <n v="76"/>
    <x v="4"/>
  </r>
  <r>
    <n v="429"/>
    <d v="2011-01-19T00:00:00"/>
    <n v="1"/>
    <n v="0"/>
    <n v="1"/>
    <x v="21"/>
    <b v="0"/>
    <n v="3"/>
    <n v="1"/>
    <n v="0.32"/>
    <n v="0.28789999999999999"/>
    <n v="0.49"/>
    <n v="0.41789999999999999"/>
    <n v="4"/>
    <n v="55"/>
    <n v="59"/>
    <x v="4"/>
  </r>
  <r>
    <n v="430"/>
    <d v="2011-01-19T00:00:00"/>
    <n v="1"/>
    <n v="0"/>
    <n v="1"/>
    <x v="22"/>
    <b v="0"/>
    <n v="3"/>
    <n v="1"/>
    <n v="0.3"/>
    <n v="0.30299999999999999"/>
    <n v="0.52"/>
    <n v="0.16420000000000001"/>
    <n v="6"/>
    <n v="53"/>
    <n v="59"/>
    <x v="4"/>
  </r>
  <r>
    <n v="431"/>
    <d v="2011-01-19T00:00:00"/>
    <n v="1"/>
    <n v="0"/>
    <n v="1"/>
    <x v="23"/>
    <b v="0"/>
    <n v="3"/>
    <n v="1"/>
    <n v="0.3"/>
    <n v="0.2727"/>
    <n v="0.52"/>
    <n v="0.4627"/>
    <n v="1"/>
    <n v="27"/>
    <n v="28"/>
    <x v="4"/>
  </r>
  <r>
    <n v="432"/>
    <d v="2011-01-20T00:00:00"/>
    <n v="1"/>
    <n v="0"/>
    <n v="1"/>
    <x v="0"/>
    <b v="0"/>
    <n v="4"/>
    <n v="1"/>
    <n v="0.26"/>
    <n v="0.2273"/>
    <n v="0.56000000000000005"/>
    <n v="0.3881"/>
    <n v="5"/>
    <n v="8"/>
    <n v="13"/>
    <x v="5"/>
  </r>
  <r>
    <n v="433"/>
    <d v="2011-01-20T00:00:00"/>
    <n v="1"/>
    <n v="0"/>
    <n v="1"/>
    <x v="1"/>
    <b v="0"/>
    <n v="4"/>
    <n v="1"/>
    <n v="0.26"/>
    <n v="0.2727"/>
    <n v="0.56000000000000005"/>
    <n v="0"/>
    <n v="2"/>
    <n v="3"/>
    <n v="5"/>
    <x v="5"/>
  </r>
  <r>
    <n v="434"/>
    <d v="2011-01-20T00:00:00"/>
    <n v="1"/>
    <n v="0"/>
    <n v="1"/>
    <x v="2"/>
    <b v="0"/>
    <n v="4"/>
    <n v="1"/>
    <n v="0.26"/>
    <n v="0.2727"/>
    <n v="0.56000000000000005"/>
    <n v="0"/>
    <n v="0"/>
    <n v="2"/>
    <n v="2"/>
    <x v="5"/>
  </r>
  <r>
    <n v="435"/>
    <d v="2011-01-20T00:00:00"/>
    <n v="1"/>
    <n v="0"/>
    <n v="1"/>
    <x v="3"/>
    <b v="0"/>
    <n v="4"/>
    <n v="1"/>
    <n v="0.26"/>
    <n v="0.2576"/>
    <n v="0.56000000000000005"/>
    <n v="0.16420000000000001"/>
    <n v="0"/>
    <n v="1"/>
    <n v="1"/>
    <x v="5"/>
  </r>
  <r>
    <n v="436"/>
    <d v="2011-01-20T00:00:00"/>
    <n v="1"/>
    <n v="0"/>
    <n v="1"/>
    <x v="4"/>
    <b v="0"/>
    <n v="4"/>
    <n v="1"/>
    <n v="0.26"/>
    <n v="0.2576"/>
    <n v="0.56000000000000005"/>
    <n v="0.16420000000000001"/>
    <n v="0"/>
    <n v="1"/>
    <n v="1"/>
    <x v="5"/>
  </r>
  <r>
    <n v="437"/>
    <d v="2011-01-20T00:00:00"/>
    <n v="1"/>
    <n v="0"/>
    <n v="1"/>
    <x v="5"/>
    <b v="0"/>
    <n v="4"/>
    <n v="1"/>
    <n v="0.24"/>
    <n v="0.2273"/>
    <n v="0.6"/>
    <n v="0.22389999999999999"/>
    <n v="0"/>
    <n v="6"/>
    <n v="6"/>
    <x v="5"/>
  </r>
  <r>
    <n v="438"/>
    <d v="2011-01-20T00:00:00"/>
    <n v="1"/>
    <n v="0"/>
    <n v="1"/>
    <x v="6"/>
    <b v="0"/>
    <n v="4"/>
    <n v="1"/>
    <n v="0.22"/>
    <n v="0.21210000000000001"/>
    <n v="0.6"/>
    <n v="0.22389999999999999"/>
    <n v="0"/>
    <n v="35"/>
    <n v="35"/>
    <x v="5"/>
  </r>
  <r>
    <n v="439"/>
    <d v="2011-01-20T00:00:00"/>
    <n v="1"/>
    <n v="0"/>
    <n v="1"/>
    <x v="7"/>
    <b v="0"/>
    <n v="4"/>
    <n v="1"/>
    <n v="0.22"/>
    <n v="0.21210000000000001"/>
    <n v="0.55000000000000004"/>
    <n v="0.22389999999999999"/>
    <n v="1"/>
    <n v="100"/>
    <n v="101"/>
    <x v="5"/>
  </r>
  <r>
    <n v="440"/>
    <d v="2011-01-20T00:00:00"/>
    <n v="1"/>
    <n v="0"/>
    <n v="1"/>
    <x v="8"/>
    <b v="0"/>
    <n v="4"/>
    <n v="1"/>
    <n v="0.22"/>
    <n v="0.21210000000000001"/>
    <n v="0.55000000000000004"/>
    <n v="0.28360000000000002"/>
    <n v="2"/>
    <n v="247"/>
    <n v="249"/>
    <x v="5"/>
  </r>
  <r>
    <n v="441"/>
    <d v="2011-01-20T00:00:00"/>
    <n v="1"/>
    <n v="0"/>
    <n v="1"/>
    <x v="9"/>
    <b v="0"/>
    <n v="4"/>
    <n v="2"/>
    <n v="0.24"/>
    <n v="0.2273"/>
    <n v="0.52"/>
    <n v="0.22389999999999999"/>
    <n v="3"/>
    <n v="140"/>
    <n v="143"/>
    <x v="5"/>
  </r>
  <r>
    <n v="442"/>
    <d v="2011-01-20T00:00:00"/>
    <n v="1"/>
    <n v="0"/>
    <n v="1"/>
    <x v="10"/>
    <b v="0"/>
    <n v="4"/>
    <n v="1"/>
    <n v="0.26"/>
    <n v="0.2273"/>
    <n v="0.48"/>
    <n v="0.29849999999999999"/>
    <n v="1"/>
    <n v="56"/>
    <n v="57"/>
    <x v="5"/>
  </r>
  <r>
    <n v="443"/>
    <d v="2011-01-20T00:00:00"/>
    <n v="1"/>
    <n v="0"/>
    <n v="1"/>
    <x v="11"/>
    <b v="0"/>
    <n v="4"/>
    <n v="2"/>
    <n v="0.28000000000000003"/>
    <n v="0.2727"/>
    <n v="0.45"/>
    <n v="0.16420000000000001"/>
    <n v="5"/>
    <n v="63"/>
    <n v="68"/>
    <x v="5"/>
  </r>
  <r>
    <n v="444"/>
    <d v="2011-01-20T00:00:00"/>
    <n v="1"/>
    <n v="0"/>
    <n v="1"/>
    <x v="12"/>
    <b v="0"/>
    <n v="4"/>
    <n v="2"/>
    <n v="0.3"/>
    <n v="0.33329999999999999"/>
    <n v="0.42"/>
    <n v="0"/>
    <n v="7"/>
    <n v="77"/>
    <n v="84"/>
    <x v="5"/>
  </r>
  <r>
    <n v="445"/>
    <d v="2011-01-20T00:00:00"/>
    <n v="1"/>
    <n v="0"/>
    <n v="1"/>
    <x v="13"/>
    <b v="0"/>
    <n v="4"/>
    <n v="2"/>
    <n v="0.28000000000000003"/>
    <n v="0.28789999999999999"/>
    <n v="0.45"/>
    <n v="0.1045"/>
    <n v="12"/>
    <n v="86"/>
    <n v="98"/>
    <x v="5"/>
  </r>
  <r>
    <n v="446"/>
    <d v="2011-01-20T00:00:00"/>
    <n v="1"/>
    <n v="0"/>
    <n v="1"/>
    <x v="14"/>
    <b v="0"/>
    <n v="4"/>
    <n v="2"/>
    <n v="0.3"/>
    <n v="0.30299999999999999"/>
    <n v="0.45"/>
    <n v="0.1343"/>
    <n v="6"/>
    <n v="75"/>
    <n v="81"/>
    <x v="5"/>
  </r>
  <r>
    <n v="447"/>
    <d v="2011-01-20T00:00:00"/>
    <n v="1"/>
    <n v="0"/>
    <n v="1"/>
    <x v="15"/>
    <b v="0"/>
    <n v="4"/>
    <n v="2"/>
    <n v="0.32"/>
    <n v="0.31819999999999998"/>
    <n v="0.45"/>
    <n v="0.19400000000000001"/>
    <n v="8"/>
    <n v="62"/>
    <n v="70"/>
    <x v="5"/>
  </r>
  <r>
    <n v="448"/>
    <d v="2011-01-20T00:00:00"/>
    <n v="1"/>
    <n v="0"/>
    <n v="1"/>
    <x v="16"/>
    <b v="0"/>
    <n v="4"/>
    <n v="2"/>
    <n v="0.3"/>
    <n v="0.30299999999999999"/>
    <n v="0.49"/>
    <n v="0.1343"/>
    <n v="8"/>
    <n v="83"/>
    <n v="91"/>
    <x v="5"/>
  </r>
  <r>
    <n v="449"/>
    <d v="2011-01-20T00:00:00"/>
    <n v="1"/>
    <n v="0"/>
    <n v="1"/>
    <x v="17"/>
    <b v="0"/>
    <n v="4"/>
    <n v="2"/>
    <n v="0.3"/>
    <n v="0.31819999999999998"/>
    <n v="0.49"/>
    <n v="0.1045"/>
    <n v="8"/>
    <n v="207"/>
    <n v="215"/>
    <x v="5"/>
  </r>
  <r>
    <n v="450"/>
    <d v="2011-01-20T00:00:00"/>
    <n v="1"/>
    <n v="0"/>
    <n v="1"/>
    <x v="18"/>
    <b v="0"/>
    <n v="4"/>
    <n v="2"/>
    <n v="0.26"/>
    <n v="0.2576"/>
    <n v="0.56000000000000005"/>
    <n v="0.19400000000000001"/>
    <n v="1"/>
    <n v="184"/>
    <n v="185"/>
    <x v="5"/>
  </r>
  <r>
    <n v="451"/>
    <d v="2011-01-20T00:00:00"/>
    <n v="1"/>
    <n v="0"/>
    <n v="1"/>
    <x v="19"/>
    <b v="0"/>
    <n v="4"/>
    <n v="1"/>
    <n v="0.26"/>
    <n v="0.2273"/>
    <n v="0.56000000000000005"/>
    <n v="0.32840000000000003"/>
    <n v="6"/>
    <n v="146"/>
    <n v="152"/>
    <x v="5"/>
  </r>
  <r>
    <n v="452"/>
    <d v="2011-01-20T00:00:00"/>
    <n v="1"/>
    <n v="0"/>
    <n v="1"/>
    <x v="20"/>
    <b v="0"/>
    <n v="4"/>
    <n v="2"/>
    <n v="0.26"/>
    <n v="0.2424"/>
    <n v="0.6"/>
    <n v="0.28360000000000002"/>
    <n v="2"/>
    <n v="124"/>
    <n v="126"/>
    <x v="5"/>
  </r>
  <r>
    <n v="453"/>
    <d v="2011-01-20T00:00:00"/>
    <n v="1"/>
    <n v="0"/>
    <n v="1"/>
    <x v="21"/>
    <b v="0"/>
    <n v="4"/>
    <n v="2"/>
    <n v="0.24"/>
    <n v="0.2273"/>
    <n v="0.6"/>
    <n v="0.25369999999999998"/>
    <n v="3"/>
    <n v="54"/>
    <n v="57"/>
    <x v="5"/>
  </r>
  <r>
    <n v="454"/>
    <d v="2011-01-20T00:00:00"/>
    <n v="1"/>
    <n v="0"/>
    <n v="1"/>
    <x v="22"/>
    <b v="0"/>
    <n v="4"/>
    <n v="2"/>
    <n v="0.24"/>
    <n v="0.21210000000000001"/>
    <n v="0.65"/>
    <n v="0.28360000000000002"/>
    <n v="0"/>
    <n v="56"/>
    <n v="56"/>
    <x v="5"/>
  </r>
  <r>
    <n v="455"/>
    <d v="2011-01-20T00:00:00"/>
    <n v="1"/>
    <n v="0"/>
    <n v="1"/>
    <x v="23"/>
    <b v="0"/>
    <n v="4"/>
    <n v="2"/>
    <n v="0.24"/>
    <n v="0.21210000000000001"/>
    <n v="0.65"/>
    <n v="0.32840000000000003"/>
    <n v="3"/>
    <n v="28"/>
    <n v="31"/>
    <x v="5"/>
  </r>
  <r>
    <n v="456"/>
    <d v="2011-01-21T00:00:00"/>
    <n v="1"/>
    <n v="0"/>
    <n v="1"/>
    <x v="0"/>
    <b v="0"/>
    <n v="5"/>
    <n v="2"/>
    <n v="0.24"/>
    <n v="0.2273"/>
    <n v="0.7"/>
    <n v="0.25369999999999998"/>
    <n v="1"/>
    <n v="20"/>
    <n v="21"/>
    <x v="6"/>
  </r>
  <r>
    <n v="457"/>
    <d v="2011-01-21T00:00:00"/>
    <n v="1"/>
    <n v="0"/>
    <n v="1"/>
    <x v="1"/>
    <b v="0"/>
    <n v="5"/>
    <n v="2"/>
    <n v="0.24"/>
    <n v="0.2273"/>
    <n v="0.7"/>
    <n v="0.25369999999999998"/>
    <n v="0"/>
    <n v="6"/>
    <n v="6"/>
    <x v="6"/>
  </r>
  <r>
    <n v="458"/>
    <d v="2011-01-21T00:00:00"/>
    <n v="1"/>
    <n v="0"/>
    <n v="1"/>
    <x v="2"/>
    <b v="0"/>
    <n v="5"/>
    <n v="3"/>
    <n v="0.24"/>
    <n v="0.2424"/>
    <n v="0.75"/>
    <n v="0.16420000000000001"/>
    <n v="0"/>
    <n v="2"/>
    <n v="2"/>
    <x v="6"/>
  </r>
  <r>
    <n v="459"/>
    <d v="2011-01-21T00:00:00"/>
    <n v="1"/>
    <n v="0"/>
    <n v="1"/>
    <x v="3"/>
    <b v="0"/>
    <n v="5"/>
    <n v="3"/>
    <n v="0.22"/>
    <n v="0.21210000000000001"/>
    <n v="0.8"/>
    <n v="0.29849999999999999"/>
    <n v="0"/>
    <n v="1"/>
    <n v="1"/>
    <x v="6"/>
  </r>
  <r>
    <n v="460"/>
    <d v="2011-01-21T00:00:00"/>
    <n v="1"/>
    <n v="0"/>
    <n v="1"/>
    <x v="4"/>
    <b v="0"/>
    <n v="5"/>
    <n v="2"/>
    <n v="0.22"/>
    <n v="0.2576"/>
    <n v="0.87"/>
    <n v="8.9599999999999999E-2"/>
    <n v="0"/>
    <n v="1"/>
    <n v="1"/>
    <x v="6"/>
  </r>
  <r>
    <n v="461"/>
    <d v="2011-01-21T00:00:00"/>
    <n v="1"/>
    <n v="0"/>
    <n v="1"/>
    <x v="5"/>
    <b v="0"/>
    <n v="5"/>
    <n v="1"/>
    <n v="0.24"/>
    <n v="0.19700000000000001"/>
    <n v="0.6"/>
    <n v="0.41789999999999999"/>
    <n v="1"/>
    <n v="4"/>
    <n v="5"/>
    <x v="6"/>
  </r>
  <r>
    <n v="462"/>
    <d v="2011-01-21T00:00:00"/>
    <n v="1"/>
    <n v="0"/>
    <n v="1"/>
    <x v="6"/>
    <b v="0"/>
    <n v="5"/>
    <n v="1"/>
    <n v="0.22"/>
    <n v="0.21210000000000001"/>
    <n v="0.55000000000000004"/>
    <n v="0.25369999999999998"/>
    <n v="0"/>
    <n v="27"/>
    <n v="27"/>
    <x v="6"/>
  </r>
  <r>
    <n v="463"/>
    <d v="2011-01-21T00:00:00"/>
    <n v="1"/>
    <n v="0"/>
    <n v="1"/>
    <x v="7"/>
    <b v="0"/>
    <n v="5"/>
    <n v="1"/>
    <n v="0.2"/>
    <n v="0.18179999999999999"/>
    <n v="0.51"/>
    <n v="0.28360000000000002"/>
    <n v="2"/>
    <n v="66"/>
    <n v="68"/>
    <x v="6"/>
  </r>
  <r>
    <n v="464"/>
    <d v="2011-01-21T00:00:00"/>
    <n v="1"/>
    <n v="0"/>
    <n v="1"/>
    <x v="8"/>
    <b v="0"/>
    <n v="5"/>
    <n v="1"/>
    <n v="0.2"/>
    <n v="0.18179999999999999"/>
    <n v="0.47"/>
    <n v="0.32840000000000003"/>
    <n v="7"/>
    <n v="210"/>
    <n v="217"/>
    <x v="6"/>
  </r>
  <r>
    <n v="465"/>
    <d v="2011-01-21T00:00:00"/>
    <n v="1"/>
    <n v="0"/>
    <n v="1"/>
    <x v="9"/>
    <b v="0"/>
    <n v="5"/>
    <n v="1"/>
    <n v="0.2"/>
    <n v="0.18179999999999999"/>
    <n v="0.51"/>
    <n v="0.35820000000000002"/>
    <n v="7"/>
    <n v="159"/>
    <n v="166"/>
    <x v="6"/>
  </r>
  <r>
    <n v="466"/>
    <d v="2011-01-21T00:00:00"/>
    <n v="1"/>
    <n v="0"/>
    <n v="1"/>
    <x v="10"/>
    <b v="0"/>
    <n v="5"/>
    <n v="1"/>
    <n v="0.2"/>
    <n v="0.16669999999999999"/>
    <n v="0.47"/>
    <n v="0.4627"/>
    <n v="6"/>
    <n v="57"/>
    <n v="63"/>
    <x v="6"/>
  </r>
  <r>
    <n v="467"/>
    <d v="2011-01-21T00:00:00"/>
    <n v="1"/>
    <n v="0"/>
    <n v="1"/>
    <x v="11"/>
    <b v="0"/>
    <n v="5"/>
    <n v="1"/>
    <n v="0.22"/>
    <n v="0.18179999999999999"/>
    <n v="0.41"/>
    <n v="0.4627"/>
    <n v="6"/>
    <n v="53"/>
    <n v="59"/>
    <x v="6"/>
  </r>
  <r>
    <n v="468"/>
    <d v="2011-01-21T00:00:00"/>
    <n v="1"/>
    <n v="0"/>
    <n v="1"/>
    <x v="12"/>
    <b v="0"/>
    <n v="5"/>
    <n v="1"/>
    <n v="0.22"/>
    <n v="0.18179999999999999"/>
    <n v="0.27"/>
    <n v="0.58209999999999995"/>
    <n v="11"/>
    <n v="67"/>
    <n v="78"/>
    <x v="6"/>
  </r>
  <r>
    <n v="469"/>
    <d v="2011-01-21T00:00:00"/>
    <n v="1"/>
    <n v="0"/>
    <n v="1"/>
    <x v="13"/>
    <b v="0"/>
    <n v="5"/>
    <n v="1"/>
    <n v="0.2"/>
    <n v="0.1515"/>
    <n v="0.21"/>
    <n v="0.58209999999999995"/>
    <n v="8"/>
    <n v="65"/>
    <n v="73"/>
    <x v="6"/>
  </r>
  <r>
    <n v="470"/>
    <d v="2011-01-21T00:00:00"/>
    <n v="1"/>
    <n v="0"/>
    <n v="1"/>
    <x v="14"/>
    <b v="0"/>
    <n v="5"/>
    <n v="1"/>
    <n v="0.2"/>
    <n v="0.1515"/>
    <n v="0.25"/>
    <n v="0.52239999999999998"/>
    <n v="6"/>
    <n v="56"/>
    <n v="62"/>
    <x v="6"/>
  </r>
  <r>
    <n v="471"/>
    <d v="2011-01-21T00:00:00"/>
    <n v="1"/>
    <n v="0"/>
    <n v="1"/>
    <x v="15"/>
    <b v="0"/>
    <n v="5"/>
    <n v="1"/>
    <n v="0.16"/>
    <n v="0.1212"/>
    <n v="0.26"/>
    <n v="0.44779999999999998"/>
    <n v="4"/>
    <n v="61"/>
    <n v="65"/>
    <x v="6"/>
  </r>
  <r>
    <n v="472"/>
    <d v="2011-01-21T00:00:00"/>
    <n v="1"/>
    <n v="0"/>
    <n v="1"/>
    <x v="16"/>
    <b v="0"/>
    <n v="5"/>
    <n v="1"/>
    <n v="0.16"/>
    <n v="0.13639999999999999"/>
    <n v="0.26"/>
    <n v="0.35820000000000002"/>
    <n v="0"/>
    <n v="97"/>
    <n v="97"/>
    <x v="6"/>
  </r>
  <r>
    <n v="473"/>
    <d v="2011-01-21T00:00:00"/>
    <n v="1"/>
    <n v="0"/>
    <n v="1"/>
    <x v="17"/>
    <b v="0"/>
    <n v="5"/>
    <n v="1"/>
    <n v="0.14000000000000001"/>
    <n v="0.1212"/>
    <n v="0.28000000000000003"/>
    <n v="0.35820000000000002"/>
    <n v="10"/>
    <n v="151"/>
    <n v="161"/>
    <x v="6"/>
  </r>
  <r>
    <n v="474"/>
    <d v="2011-01-21T00:00:00"/>
    <n v="1"/>
    <n v="0"/>
    <n v="1"/>
    <x v="18"/>
    <b v="0"/>
    <n v="5"/>
    <n v="1"/>
    <n v="0.12"/>
    <n v="0.1212"/>
    <n v="0.3"/>
    <n v="0.25369999999999998"/>
    <n v="1"/>
    <n v="119"/>
    <n v="120"/>
    <x v="6"/>
  </r>
  <r>
    <n v="475"/>
    <d v="2011-01-21T00:00:00"/>
    <n v="1"/>
    <n v="0"/>
    <n v="1"/>
    <x v="19"/>
    <b v="0"/>
    <n v="5"/>
    <n v="1"/>
    <n v="0.12"/>
    <n v="0.1061"/>
    <n v="0.3"/>
    <n v="0.32840000000000003"/>
    <n v="3"/>
    <n v="93"/>
    <n v="96"/>
    <x v="6"/>
  </r>
  <r>
    <n v="476"/>
    <d v="2011-01-21T00:00:00"/>
    <n v="1"/>
    <n v="0"/>
    <n v="1"/>
    <x v="20"/>
    <b v="0"/>
    <n v="5"/>
    <n v="1"/>
    <n v="0.1"/>
    <n v="7.5800000000000006E-2"/>
    <n v="0.33"/>
    <n v="0.41789999999999999"/>
    <n v="1"/>
    <n v="52"/>
    <n v="53"/>
    <x v="6"/>
  </r>
  <r>
    <n v="477"/>
    <d v="2011-01-21T00:00:00"/>
    <n v="1"/>
    <n v="0"/>
    <n v="1"/>
    <x v="21"/>
    <b v="0"/>
    <n v="5"/>
    <n v="1"/>
    <n v="0.08"/>
    <n v="7.5800000000000006E-2"/>
    <n v="0.38"/>
    <n v="0.28360000000000002"/>
    <n v="0"/>
    <n v="41"/>
    <n v="41"/>
    <x v="6"/>
  </r>
  <r>
    <n v="478"/>
    <d v="2011-01-21T00:00:00"/>
    <n v="1"/>
    <n v="0"/>
    <n v="1"/>
    <x v="22"/>
    <b v="0"/>
    <n v="5"/>
    <n v="1"/>
    <n v="0.06"/>
    <n v="3.0300000000000001E-2"/>
    <n v="0.41"/>
    <n v="0.3881"/>
    <n v="1"/>
    <n v="33"/>
    <n v="34"/>
    <x v="6"/>
  </r>
  <r>
    <n v="479"/>
    <d v="2011-01-21T00:00:00"/>
    <n v="1"/>
    <n v="0"/>
    <n v="1"/>
    <x v="23"/>
    <b v="0"/>
    <n v="5"/>
    <n v="1"/>
    <n v="0.06"/>
    <n v="4.5499999999999999E-2"/>
    <n v="0.38"/>
    <n v="0.32840000000000003"/>
    <n v="0"/>
    <n v="27"/>
    <n v="27"/>
    <x v="6"/>
  </r>
  <r>
    <n v="480"/>
    <d v="2011-01-22T00:00:00"/>
    <n v="1"/>
    <n v="0"/>
    <n v="1"/>
    <x v="0"/>
    <b v="0"/>
    <n v="6"/>
    <n v="1"/>
    <n v="0.04"/>
    <n v="3.0300000000000001E-2"/>
    <n v="0.45"/>
    <n v="0.25369999999999998"/>
    <n v="0"/>
    <n v="13"/>
    <n v="13"/>
    <x v="0"/>
  </r>
  <r>
    <n v="481"/>
    <d v="2011-01-22T00:00:00"/>
    <n v="1"/>
    <n v="0"/>
    <n v="1"/>
    <x v="1"/>
    <b v="0"/>
    <n v="6"/>
    <n v="2"/>
    <n v="0.04"/>
    <n v="0"/>
    <n v="0.41"/>
    <n v="0.3881"/>
    <n v="3"/>
    <n v="9"/>
    <n v="12"/>
    <x v="0"/>
  </r>
  <r>
    <n v="482"/>
    <d v="2011-01-22T00:00:00"/>
    <n v="1"/>
    <n v="0"/>
    <n v="1"/>
    <x v="2"/>
    <b v="0"/>
    <n v="6"/>
    <n v="2"/>
    <n v="0.04"/>
    <n v="3.0300000000000001E-2"/>
    <n v="0.41"/>
    <n v="0.25369999999999998"/>
    <n v="0"/>
    <n v="11"/>
    <n v="11"/>
    <x v="0"/>
  </r>
  <r>
    <n v="483"/>
    <d v="2011-01-22T00:00:00"/>
    <n v="1"/>
    <n v="0"/>
    <n v="1"/>
    <x v="3"/>
    <b v="0"/>
    <n v="6"/>
    <n v="2"/>
    <n v="0.04"/>
    <n v="3.0300000000000001E-2"/>
    <n v="0.41"/>
    <n v="0.28360000000000002"/>
    <n v="1"/>
    <n v="6"/>
    <n v="7"/>
    <x v="0"/>
  </r>
  <r>
    <n v="484"/>
    <d v="2011-01-22T00:00:00"/>
    <n v="1"/>
    <n v="0"/>
    <n v="1"/>
    <x v="4"/>
    <b v="0"/>
    <n v="6"/>
    <n v="2"/>
    <n v="0.02"/>
    <n v="1.52E-2"/>
    <n v="0.48"/>
    <n v="0.29849999999999999"/>
    <n v="0"/>
    <n v="3"/>
    <n v="3"/>
    <x v="0"/>
  </r>
  <r>
    <n v="485"/>
    <d v="2011-01-22T00:00:00"/>
    <n v="1"/>
    <n v="0"/>
    <n v="1"/>
    <x v="6"/>
    <b v="0"/>
    <n v="6"/>
    <n v="2"/>
    <n v="0.02"/>
    <n v="3.0300000000000001E-2"/>
    <n v="0.44"/>
    <n v="0.22389999999999999"/>
    <n v="0"/>
    <n v="2"/>
    <n v="2"/>
    <x v="0"/>
  </r>
  <r>
    <n v="486"/>
    <d v="2011-01-22T00:00:00"/>
    <n v="1"/>
    <n v="0"/>
    <n v="1"/>
    <x v="7"/>
    <b v="0"/>
    <n v="6"/>
    <n v="1"/>
    <n v="0.02"/>
    <n v="1.52E-2"/>
    <n v="0.44"/>
    <n v="0.28360000000000002"/>
    <n v="0"/>
    <n v="8"/>
    <n v="8"/>
    <x v="0"/>
  </r>
  <r>
    <n v="487"/>
    <d v="2011-01-22T00:00:00"/>
    <n v="1"/>
    <n v="0"/>
    <n v="1"/>
    <x v="8"/>
    <b v="0"/>
    <n v="6"/>
    <n v="1"/>
    <n v="0.02"/>
    <n v="0"/>
    <n v="0.44"/>
    <n v="0.32840000000000003"/>
    <n v="1"/>
    <n v="26"/>
    <n v="27"/>
    <x v="0"/>
  </r>
  <r>
    <n v="488"/>
    <d v="2011-01-22T00:00:00"/>
    <n v="1"/>
    <n v="0"/>
    <n v="1"/>
    <x v="9"/>
    <b v="0"/>
    <n v="6"/>
    <n v="1"/>
    <n v="0.04"/>
    <n v="3.0300000000000001E-2"/>
    <n v="0.41"/>
    <n v="0.25369999999999998"/>
    <n v="3"/>
    <n v="37"/>
    <n v="40"/>
    <x v="0"/>
  </r>
  <r>
    <n v="489"/>
    <d v="2011-01-22T00:00:00"/>
    <n v="1"/>
    <n v="0"/>
    <n v="1"/>
    <x v="10"/>
    <b v="0"/>
    <n v="6"/>
    <n v="2"/>
    <n v="0.04"/>
    <n v="6.0600000000000001E-2"/>
    <n v="0.41"/>
    <n v="0.16420000000000001"/>
    <n v="3"/>
    <n v="50"/>
    <n v="53"/>
    <x v="0"/>
  </r>
  <r>
    <n v="490"/>
    <d v="2011-01-22T00:00:00"/>
    <n v="1"/>
    <n v="0"/>
    <n v="1"/>
    <x v="11"/>
    <b v="0"/>
    <n v="6"/>
    <n v="2"/>
    <n v="0.06"/>
    <n v="7.5800000000000006E-2"/>
    <n v="0.38"/>
    <n v="0.1343"/>
    <n v="4"/>
    <n v="59"/>
    <n v="63"/>
    <x v="0"/>
  </r>
  <r>
    <n v="491"/>
    <d v="2011-01-22T00:00:00"/>
    <n v="1"/>
    <n v="0"/>
    <n v="1"/>
    <x v="12"/>
    <b v="0"/>
    <n v="6"/>
    <n v="2"/>
    <n v="0.06"/>
    <n v="0.1061"/>
    <n v="0.38"/>
    <n v="0.1045"/>
    <n v="10"/>
    <n v="60"/>
    <n v="70"/>
    <x v="0"/>
  </r>
  <r>
    <n v="492"/>
    <d v="2011-01-22T00:00:00"/>
    <n v="1"/>
    <n v="0"/>
    <n v="1"/>
    <x v="13"/>
    <b v="0"/>
    <n v="6"/>
    <n v="1"/>
    <n v="0.08"/>
    <n v="0.16669999999999999"/>
    <n v="0.35"/>
    <n v="0"/>
    <n v="12"/>
    <n v="72"/>
    <n v="84"/>
    <x v="0"/>
  </r>
  <r>
    <n v="493"/>
    <d v="2011-01-22T00:00:00"/>
    <n v="1"/>
    <n v="0"/>
    <n v="1"/>
    <x v="14"/>
    <b v="0"/>
    <n v="6"/>
    <n v="1"/>
    <n v="0.1"/>
    <n v="0.13639999999999999"/>
    <n v="0.33"/>
    <n v="0.1045"/>
    <n v="11"/>
    <n v="64"/>
    <n v="75"/>
    <x v="0"/>
  </r>
  <r>
    <n v="494"/>
    <d v="2011-01-22T00:00:00"/>
    <n v="1"/>
    <n v="0"/>
    <n v="1"/>
    <x v="15"/>
    <b v="0"/>
    <n v="6"/>
    <n v="1"/>
    <n v="0.12"/>
    <n v="0.1515"/>
    <n v="0.28000000000000003"/>
    <n v="0"/>
    <n v="10"/>
    <n v="93"/>
    <n v="103"/>
    <x v="0"/>
  </r>
  <r>
    <n v="495"/>
    <d v="2011-01-22T00:00:00"/>
    <n v="1"/>
    <n v="0"/>
    <n v="1"/>
    <x v="16"/>
    <b v="0"/>
    <n v="6"/>
    <n v="1"/>
    <n v="0.12"/>
    <n v="0.13639999999999999"/>
    <n v="0.28000000000000003"/>
    <n v="0.19400000000000001"/>
    <n v="11"/>
    <n v="72"/>
    <n v="83"/>
    <x v="0"/>
  </r>
  <r>
    <n v="496"/>
    <d v="2011-01-22T00:00:00"/>
    <n v="1"/>
    <n v="0"/>
    <n v="1"/>
    <x v="17"/>
    <b v="0"/>
    <n v="6"/>
    <n v="1"/>
    <n v="0.12"/>
    <n v="0.19700000000000001"/>
    <n v="0.28000000000000003"/>
    <n v="0"/>
    <n v="8"/>
    <n v="59"/>
    <n v="67"/>
    <x v="0"/>
  </r>
  <r>
    <n v="497"/>
    <d v="2011-01-22T00:00:00"/>
    <n v="1"/>
    <n v="0"/>
    <n v="1"/>
    <x v="18"/>
    <b v="0"/>
    <n v="6"/>
    <n v="1"/>
    <n v="0.08"/>
    <n v="9.0899999999999995E-2"/>
    <n v="0.35"/>
    <n v="0.19400000000000001"/>
    <n v="0"/>
    <n v="54"/>
    <n v="54"/>
    <x v="0"/>
  </r>
  <r>
    <n v="498"/>
    <d v="2011-01-22T00:00:00"/>
    <n v="1"/>
    <n v="0"/>
    <n v="1"/>
    <x v="19"/>
    <b v="0"/>
    <n v="6"/>
    <n v="1"/>
    <n v="0.08"/>
    <n v="0.1061"/>
    <n v="0.35"/>
    <n v="0.1343"/>
    <n v="6"/>
    <n v="53"/>
    <n v="59"/>
    <x v="0"/>
  </r>
  <r>
    <n v="499"/>
    <d v="2011-01-22T00:00:00"/>
    <n v="1"/>
    <n v="0"/>
    <n v="1"/>
    <x v="20"/>
    <b v="0"/>
    <n v="6"/>
    <n v="1"/>
    <n v="0.06"/>
    <n v="7.5800000000000006E-2"/>
    <n v="0.45"/>
    <n v="0.16420000000000001"/>
    <n v="1"/>
    <n v="44"/>
    <n v="45"/>
    <x v="0"/>
  </r>
  <r>
    <n v="500"/>
    <d v="2011-01-22T00:00:00"/>
    <n v="1"/>
    <n v="0"/>
    <n v="1"/>
    <x v="21"/>
    <b v="0"/>
    <n v="6"/>
    <n v="1"/>
    <n v="0.06"/>
    <n v="0.1061"/>
    <n v="0.41"/>
    <n v="8.9599999999999999E-2"/>
    <n v="0"/>
    <n v="39"/>
    <n v="39"/>
    <x v="0"/>
  </r>
  <r>
    <n v="501"/>
    <d v="2011-01-22T00:00:00"/>
    <n v="1"/>
    <n v="0"/>
    <n v="1"/>
    <x v="22"/>
    <b v="0"/>
    <n v="6"/>
    <n v="1"/>
    <n v="0.06"/>
    <n v="0.1515"/>
    <n v="0.49"/>
    <n v="0"/>
    <n v="7"/>
    <n v="23"/>
    <n v="30"/>
    <x v="0"/>
  </r>
  <r>
    <n v="502"/>
    <d v="2011-01-22T00:00:00"/>
    <n v="1"/>
    <n v="0"/>
    <n v="1"/>
    <x v="23"/>
    <b v="0"/>
    <n v="6"/>
    <n v="1"/>
    <n v="0.04"/>
    <n v="7.5800000000000006E-2"/>
    <n v="0.56999999999999995"/>
    <n v="0.1045"/>
    <n v="2"/>
    <n v="31"/>
    <n v="33"/>
    <x v="0"/>
  </r>
  <r>
    <n v="503"/>
    <d v="2011-01-23T00:00:00"/>
    <n v="1"/>
    <n v="0"/>
    <n v="1"/>
    <x v="0"/>
    <b v="0"/>
    <n v="0"/>
    <n v="1"/>
    <n v="0.04"/>
    <n v="7.5800000000000006E-2"/>
    <n v="0.56999999999999995"/>
    <n v="0.1045"/>
    <n v="2"/>
    <n v="20"/>
    <n v="22"/>
    <x v="1"/>
  </r>
  <r>
    <n v="504"/>
    <d v="2011-01-23T00:00:00"/>
    <n v="1"/>
    <n v="0"/>
    <n v="1"/>
    <x v="1"/>
    <b v="0"/>
    <n v="0"/>
    <n v="1"/>
    <n v="0.04"/>
    <n v="7.5800000000000006E-2"/>
    <n v="0.56999999999999995"/>
    <n v="0.1045"/>
    <n v="1"/>
    <n v="12"/>
    <n v="13"/>
    <x v="1"/>
  </r>
  <r>
    <n v="505"/>
    <d v="2011-01-23T00:00:00"/>
    <n v="1"/>
    <n v="0"/>
    <n v="1"/>
    <x v="2"/>
    <b v="0"/>
    <n v="0"/>
    <n v="1"/>
    <n v="0.02"/>
    <n v="6.0600000000000001E-2"/>
    <n v="0.62"/>
    <n v="0.1343"/>
    <n v="3"/>
    <n v="15"/>
    <n v="18"/>
    <x v="1"/>
  </r>
  <r>
    <n v="506"/>
    <d v="2011-01-23T00:00:00"/>
    <n v="1"/>
    <n v="0"/>
    <n v="1"/>
    <x v="3"/>
    <b v="0"/>
    <n v="0"/>
    <n v="1"/>
    <n v="0.02"/>
    <n v="6.0600000000000001E-2"/>
    <n v="0.62"/>
    <n v="0.1343"/>
    <n v="1"/>
    <n v="4"/>
    <n v="5"/>
    <x v="1"/>
  </r>
  <r>
    <n v="507"/>
    <d v="2011-01-23T00:00:00"/>
    <n v="1"/>
    <n v="0"/>
    <n v="1"/>
    <x v="5"/>
    <b v="0"/>
    <n v="0"/>
    <n v="2"/>
    <n v="0.04"/>
    <n v="7.5800000000000006E-2"/>
    <n v="0.56999999999999995"/>
    <n v="0.1045"/>
    <n v="0"/>
    <n v="3"/>
    <n v="3"/>
    <x v="1"/>
  </r>
  <r>
    <n v="508"/>
    <d v="2011-01-23T00:00:00"/>
    <n v="1"/>
    <n v="0"/>
    <n v="1"/>
    <x v="6"/>
    <b v="0"/>
    <n v="0"/>
    <n v="2"/>
    <n v="0.04"/>
    <n v="7.5800000000000006E-2"/>
    <n v="0.56999999999999995"/>
    <n v="0.1045"/>
    <n v="0"/>
    <n v="1"/>
    <n v="1"/>
    <x v="1"/>
  </r>
  <r>
    <n v="509"/>
    <d v="2011-01-23T00:00:00"/>
    <n v="1"/>
    <n v="0"/>
    <n v="1"/>
    <x v="7"/>
    <b v="0"/>
    <n v="0"/>
    <n v="1"/>
    <n v="0.08"/>
    <n v="0.1061"/>
    <n v="0.57999999999999996"/>
    <n v="0.16420000000000001"/>
    <n v="1"/>
    <n v="1"/>
    <n v="2"/>
    <x v="1"/>
  </r>
  <r>
    <n v="510"/>
    <d v="2011-01-23T00:00:00"/>
    <n v="1"/>
    <n v="0"/>
    <n v="1"/>
    <x v="8"/>
    <b v="0"/>
    <n v="0"/>
    <n v="1"/>
    <n v="0.06"/>
    <n v="7.5800000000000006E-2"/>
    <n v="0.62"/>
    <n v="0.16420000000000001"/>
    <n v="2"/>
    <n v="17"/>
    <n v="19"/>
    <x v="1"/>
  </r>
  <r>
    <n v="511"/>
    <d v="2011-01-23T00:00:00"/>
    <n v="1"/>
    <n v="0"/>
    <n v="1"/>
    <x v="9"/>
    <b v="0"/>
    <n v="0"/>
    <n v="1"/>
    <n v="0.1"/>
    <n v="7.5800000000000006E-2"/>
    <n v="0.54"/>
    <n v="0.35820000000000002"/>
    <n v="3"/>
    <n v="25"/>
    <n v="28"/>
    <x v="1"/>
  </r>
  <r>
    <n v="512"/>
    <d v="2011-01-23T00:00:00"/>
    <n v="1"/>
    <n v="0"/>
    <n v="1"/>
    <x v="10"/>
    <b v="0"/>
    <n v="0"/>
    <n v="1"/>
    <n v="0.14000000000000001"/>
    <n v="0.1061"/>
    <n v="0.46"/>
    <n v="0.3881"/>
    <n v="7"/>
    <n v="51"/>
    <n v="58"/>
    <x v="1"/>
  </r>
  <r>
    <n v="513"/>
    <d v="2011-01-23T00:00:00"/>
    <n v="1"/>
    <n v="0"/>
    <n v="1"/>
    <x v="11"/>
    <b v="0"/>
    <n v="0"/>
    <n v="1"/>
    <n v="0.14000000000000001"/>
    <n v="0.13639999999999999"/>
    <n v="0.43"/>
    <n v="0.22389999999999999"/>
    <n v="22"/>
    <n v="77"/>
    <n v="99"/>
    <x v="1"/>
  </r>
  <r>
    <n v="514"/>
    <d v="2011-01-23T00:00:00"/>
    <n v="1"/>
    <n v="0"/>
    <n v="1"/>
    <x v="12"/>
    <b v="0"/>
    <n v="0"/>
    <n v="1"/>
    <n v="0.16"/>
    <n v="0.1212"/>
    <n v="0.37"/>
    <n v="0.4627"/>
    <n v="24"/>
    <n v="92"/>
    <n v="116"/>
    <x v="1"/>
  </r>
  <r>
    <n v="515"/>
    <d v="2011-01-23T00:00:00"/>
    <n v="1"/>
    <n v="0"/>
    <n v="1"/>
    <x v="13"/>
    <b v="0"/>
    <n v="0"/>
    <n v="1"/>
    <n v="0.14000000000000001"/>
    <n v="0.1061"/>
    <n v="0.33"/>
    <n v="0.3881"/>
    <n v="12"/>
    <n v="75"/>
    <n v="87"/>
    <x v="1"/>
  </r>
  <r>
    <n v="516"/>
    <d v="2011-01-23T00:00:00"/>
    <n v="1"/>
    <n v="0"/>
    <n v="1"/>
    <x v="14"/>
    <b v="0"/>
    <n v="0"/>
    <n v="1"/>
    <n v="0.16"/>
    <n v="0.13639999999999999"/>
    <n v="0.28000000000000003"/>
    <n v="0.35820000000000002"/>
    <n v="17"/>
    <n v="93"/>
    <n v="110"/>
    <x v="1"/>
  </r>
  <r>
    <n v="517"/>
    <d v="2011-01-23T00:00:00"/>
    <n v="1"/>
    <n v="0"/>
    <n v="1"/>
    <x v="15"/>
    <b v="0"/>
    <n v="0"/>
    <n v="1"/>
    <n v="0.16"/>
    <n v="0.13639999999999999"/>
    <n v="0.28000000000000003"/>
    <n v="0.35820000000000002"/>
    <n v="13"/>
    <n v="64"/>
    <n v="77"/>
    <x v="1"/>
  </r>
  <r>
    <n v="518"/>
    <d v="2011-01-23T00:00:00"/>
    <n v="1"/>
    <n v="0"/>
    <n v="1"/>
    <x v="16"/>
    <b v="0"/>
    <n v="0"/>
    <n v="1"/>
    <n v="0.16"/>
    <n v="0.13639999999999999"/>
    <n v="0.26"/>
    <n v="0.32840000000000003"/>
    <n v="9"/>
    <n v="56"/>
    <n v="65"/>
    <x v="1"/>
  </r>
  <r>
    <n v="519"/>
    <d v="2011-01-23T00:00:00"/>
    <n v="1"/>
    <n v="0"/>
    <n v="1"/>
    <x v="17"/>
    <b v="0"/>
    <n v="0"/>
    <n v="1"/>
    <n v="0.14000000000000001"/>
    <n v="0.1061"/>
    <n v="0.26"/>
    <n v="0.3881"/>
    <n v="5"/>
    <n v="50"/>
    <n v="55"/>
    <x v="1"/>
  </r>
  <r>
    <n v="520"/>
    <d v="2011-01-23T00:00:00"/>
    <n v="1"/>
    <n v="0"/>
    <n v="1"/>
    <x v="18"/>
    <b v="0"/>
    <n v="0"/>
    <n v="1"/>
    <n v="0.12"/>
    <n v="0.1212"/>
    <n v="0.3"/>
    <n v="0.25369999999999998"/>
    <n v="5"/>
    <n v="44"/>
    <n v="49"/>
    <x v="1"/>
  </r>
  <r>
    <n v="521"/>
    <d v="2011-01-23T00:00:00"/>
    <n v="1"/>
    <n v="0"/>
    <n v="1"/>
    <x v="19"/>
    <b v="0"/>
    <n v="0"/>
    <n v="1"/>
    <n v="0.12"/>
    <n v="0.1212"/>
    <n v="0.3"/>
    <n v="0.28360000000000002"/>
    <n v="5"/>
    <n v="45"/>
    <n v="50"/>
    <x v="1"/>
  </r>
  <r>
    <n v="522"/>
    <d v="2011-01-23T00:00:00"/>
    <n v="1"/>
    <n v="0"/>
    <n v="1"/>
    <x v="20"/>
    <b v="0"/>
    <n v="0"/>
    <n v="1"/>
    <n v="0.1"/>
    <n v="0.1061"/>
    <n v="0.36"/>
    <n v="0.25369999999999998"/>
    <n v="4"/>
    <n v="31"/>
    <n v="35"/>
    <x v="1"/>
  </r>
  <r>
    <n v="523"/>
    <d v="2011-01-23T00:00:00"/>
    <n v="1"/>
    <n v="0"/>
    <n v="1"/>
    <x v="21"/>
    <b v="0"/>
    <n v="0"/>
    <n v="1"/>
    <n v="0.1"/>
    <n v="0.1061"/>
    <n v="0.36"/>
    <n v="0.19400000000000001"/>
    <n v="5"/>
    <n v="20"/>
    <n v="25"/>
    <x v="1"/>
  </r>
  <r>
    <n v="524"/>
    <d v="2011-01-23T00:00:00"/>
    <n v="1"/>
    <n v="0"/>
    <n v="1"/>
    <x v="22"/>
    <b v="0"/>
    <n v="0"/>
    <n v="1"/>
    <n v="0.08"/>
    <n v="9.0899999999999995E-2"/>
    <n v="0.38"/>
    <n v="0.19400000000000001"/>
    <n v="5"/>
    <n v="23"/>
    <n v="28"/>
    <x v="1"/>
  </r>
  <r>
    <n v="525"/>
    <d v="2011-01-23T00:00:00"/>
    <n v="1"/>
    <n v="0"/>
    <n v="1"/>
    <x v="23"/>
    <b v="0"/>
    <n v="0"/>
    <n v="1"/>
    <n v="0.06"/>
    <n v="6.0600000000000001E-2"/>
    <n v="0.41"/>
    <n v="0.22389999999999999"/>
    <n v="4"/>
    <n v="17"/>
    <n v="21"/>
    <x v="1"/>
  </r>
  <r>
    <n v="526"/>
    <d v="2011-01-24T00:00:00"/>
    <n v="1"/>
    <n v="0"/>
    <n v="1"/>
    <x v="0"/>
    <b v="0"/>
    <n v="1"/>
    <n v="1"/>
    <n v="0.06"/>
    <n v="6.0600000000000001E-2"/>
    <n v="0.41"/>
    <n v="0.19400000000000001"/>
    <n v="0"/>
    <n v="7"/>
    <n v="7"/>
    <x v="2"/>
  </r>
  <r>
    <n v="527"/>
    <d v="2011-01-24T00:00:00"/>
    <n v="1"/>
    <n v="0"/>
    <n v="1"/>
    <x v="1"/>
    <b v="0"/>
    <n v="1"/>
    <n v="1"/>
    <n v="0.04"/>
    <n v="4.5499999999999999E-2"/>
    <n v="0.45"/>
    <n v="0.19400000000000001"/>
    <n v="0"/>
    <n v="1"/>
    <n v="1"/>
    <x v="2"/>
  </r>
  <r>
    <n v="528"/>
    <d v="2011-01-24T00:00:00"/>
    <n v="1"/>
    <n v="0"/>
    <n v="1"/>
    <x v="3"/>
    <b v="0"/>
    <n v="1"/>
    <n v="1"/>
    <n v="0.04"/>
    <n v="3.0300000000000001E-2"/>
    <n v="0.45"/>
    <n v="0.25369999999999998"/>
    <n v="0"/>
    <n v="1"/>
    <n v="1"/>
    <x v="2"/>
  </r>
  <r>
    <n v="529"/>
    <d v="2011-01-24T00:00:00"/>
    <n v="1"/>
    <n v="0"/>
    <n v="1"/>
    <x v="4"/>
    <b v="0"/>
    <n v="1"/>
    <n v="1"/>
    <n v="0.02"/>
    <n v="6.0600000000000001E-2"/>
    <n v="0.48"/>
    <n v="0.1343"/>
    <n v="0"/>
    <n v="1"/>
    <n v="1"/>
    <x v="2"/>
  </r>
  <r>
    <n v="530"/>
    <d v="2011-01-24T00:00:00"/>
    <n v="1"/>
    <n v="0"/>
    <n v="1"/>
    <x v="5"/>
    <b v="0"/>
    <n v="1"/>
    <n v="1"/>
    <n v="0.02"/>
    <n v="6.0600000000000001E-2"/>
    <n v="0.48"/>
    <n v="0.1343"/>
    <n v="0"/>
    <n v="5"/>
    <n v="5"/>
    <x v="2"/>
  </r>
  <r>
    <n v="531"/>
    <d v="2011-01-24T00:00:00"/>
    <n v="1"/>
    <n v="0"/>
    <n v="1"/>
    <x v="6"/>
    <b v="0"/>
    <n v="1"/>
    <n v="1"/>
    <n v="0.02"/>
    <n v="7.5800000000000006E-2"/>
    <n v="0.48"/>
    <n v="8.9599999999999999E-2"/>
    <n v="0"/>
    <n v="15"/>
    <n v="15"/>
    <x v="2"/>
  </r>
  <r>
    <n v="532"/>
    <d v="2011-01-24T00:00:00"/>
    <n v="1"/>
    <n v="0"/>
    <n v="1"/>
    <x v="7"/>
    <b v="0"/>
    <n v="1"/>
    <n v="1"/>
    <n v="0.02"/>
    <n v="0.1212"/>
    <n v="0.48"/>
    <n v="0"/>
    <n v="5"/>
    <n v="79"/>
    <n v="84"/>
    <x v="2"/>
  </r>
  <r>
    <n v="533"/>
    <d v="2011-01-24T00:00:00"/>
    <n v="1"/>
    <n v="0"/>
    <n v="1"/>
    <x v="8"/>
    <b v="0"/>
    <n v="1"/>
    <n v="1"/>
    <n v="0.04"/>
    <n v="0.13639999999999999"/>
    <n v="0.49"/>
    <n v="0"/>
    <n v="6"/>
    <n v="171"/>
    <n v="177"/>
    <x v="2"/>
  </r>
  <r>
    <n v="534"/>
    <d v="2011-01-24T00:00:00"/>
    <n v="1"/>
    <n v="0"/>
    <n v="1"/>
    <x v="9"/>
    <b v="0"/>
    <n v="1"/>
    <n v="1"/>
    <n v="0.06"/>
    <n v="0.1515"/>
    <n v="0.41"/>
    <n v="0"/>
    <n v="4"/>
    <n v="98"/>
    <n v="102"/>
    <x v="2"/>
  </r>
  <r>
    <n v="535"/>
    <d v="2011-01-24T00:00:00"/>
    <n v="1"/>
    <n v="0"/>
    <n v="1"/>
    <x v="10"/>
    <b v="0"/>
    <n v="1"/>
    <n v="1"/>
    <n v="0.1"/>
    <n v="0.13639999999999999"/>
    <n v="0.42"/>
    <n v="0"/>
    <n v="6"/>
    <n v="34"/>
    <n v="40"/>
    <x v="2"/>
  </r>
  <r>
    <n v="536"/>
    <d v="2011-01-24T00:00:00"/>
    <n v="1"/>
    <n v="0"/>
    <n v="1"/>
    <x v="11"/>
    <b v="0"/>
    <n v="1"/>
    <n v="1"/>
    <n v="0.1"/>
    <n v="0.1212"/>
    <n v="0.46"/>
    <n v="0.1343"/>
    <n v="3"/>
    <n v="43"/>
    <n v="46"/>
    <x v="2"/>
  </r>
  <r>
    <n v="537"/>
    <d v="2011-01-24T00:00:00"/>
    <n v="1"/>
    <n v="0"/>
    <n v="1"/>
    <x v="12"/>
    <b v="0"/>
    <n v="1"/>
    <n v="2"/>
    <n v="0.12"/>
    <n v="0.13639999999999999"/>
    <n v="0.42"/>
    <n v="0.19400000000000001"/>
    <n v="11"/>
    <n v="52"/>
    <n v="63"/>
    <x v="2"/>
  </r>
  <r>
    <n v="538"/>
    <d v="2011-01-24T00:00:00"/>
    <n v="1"/>
    <n v="0"/>
    <n v="1"/>
    <x v="13"/>
    <b v="0"/>
    <n v="1"/>
    <n v="2"/>
    <n v="0.14000000000000001"/>
    <n v="0.13639999999999999"/>
    <n v="0.43"/>
    <n v="0.22389999999999999"/>
    <n v="6"/>
    <n v="54"/>
    <n v="60"/>
    <x v="2"/>
  </r>
  <r>
    <n v="539"/>
    <d v="2011-01-24T00:00:00"/>
    <n v="1"/>
    <n v="0"/>
    <n v="1"/>
    <x v="14"/>
    <b v="0"/>
    <n v="1"/>
    <n v="2"/>
    <n v="0.14000000000000001"/>
    <n v="0.13639999999999999"/>
    <n v="0.46"/>
    <n v="0.22389999999999999"/>
    <n v="2"/>
    <n v="43"/>
    <n v="45"/>
    <x v="2"/>
  </r>
  <r>
    <n v="540"/>
    <d v="2011-01-24T00:00:00"/>
    <n v="1"/>
    <n v="0"/>
    <n v="1"/>
    <x v="15"/>
    <b v="0"/>
    <n v="1"/>
    <n v="1"/>
    <n v="0.16"/>
    <n v="0.16669999999999999"/>
    <n v="0.4"/>
    <n v="0.16420000000000001"/>
    <n v="7"/>
    <n v="50"/>
    <n v="57"/>
    <x v="2"/>
  </r>
  <r>
    <n v="541"/>
    <d v="2011-01-24T00:00:00"/>
    <n v="1"/>
    <n v="0"/>
    <n v="1"/>
    <x v="16"/>
    <b v="0"/>
    <n v="1"/>
    <n v="1"/>
    <n v="0.16"/>
    <n v="0.1515"/>
    <n v="0.47"/>
    <n v="0.25369999999999998"/>
    <n v="4"/>
    <n v="66"/>
    <n v="70"/>
    <x v="2"/>
  </r>
  <r>
    <n v="542"/>
    <d v="2011-01-24T00:00:00"/>
    <n v="1"/>
    <n v="0"/>
    <n v="1"/>
    <x v="17"/>
    <b v="0"/>
    <n v="1"/>
    <n v="1"/>
    <n v="0.14000000000000001"/>
    <n v="0.1212"/>
    <n v="0.5"/>
    <n v="0.25369999999999998"/>
    <n v="6"/>
    <n v="178"/>
    <n v="184"/>
    <x v="2"/>
  </r>
  <r>
    <n v="543"/>
    <d v="2011-01-24T00:00:00"/>
    <n v="1"/>
    <n v="0"/>
    <n v="1"/>
    <x v="18"/>
    <b v="0"/>
    <n v="1"/>
    <n v="1"/>
    <n v="0.14000000000000001"/>
    <n v="0.13639999999999999"/>
    <n v="0.59"/>
    <n v="0.19400000000000001"/>
    <n v="8"/>
    <n v="145"/>
    <n v="153"/>
    <x v="2"/>
  </r>
  <r>
    <n v="544"/>
    <d v="2011-01-24T00:00:00"/>
    <n v="1"/>
    <n v="0"/>
    <n v="1"/>
    <x v="19"/>
    <b v="0"/>
    <n v="1"/>
    <n v="1"/>
    <n v="0.14000000000000001"/>
    <n v="0.1515"/>
    <n v="0.54"/>
    <n v="0.16420000000000001"/>
    <n v="5"/>
    <n v="101"/>
    <n v="106"/>
    <x v="2"/>
  </r>
  <r>
    <n v="545"/>
    <d v="2011-01-24T00:00:00"/>
    <n v="1"/>
    <n v="0"/>
    <n v="1"/>
    <x v="20"/>
    <b v="0"/>
    <n v="1"/>
    <n v="1"/>
    <n v="0.14000000000000001"/>
    <n v="0.13639999999999999"/>
    <n v="0.59"/>
    <n v="0.19400000000000001"/>
    <n v="1"/>
    <n v="80"/>
    <n v="81"/>
    <x v="2"/>
  </r>
  <r>
    <n v="546"/>
    <d v="2011-01-24T00:00:00"/>
    <n v="1"/>
    <n v="0"/>
    <n v="1"/>
    <x v="21"/>
    <b v="0"/>
    <n v="1"/>
    <n v="1"/>
    <n v="0.14000000000000001"/>
    <n v="0.1515"/>
    <n v="0.63"/>
    <n v="0.16420000000000001"/>
    <n v="6"/>
    <n v="53"/>
    <n v="59"/>
    <x v="2"/>
  </r>
  <r>
    <n v="547"/>
    <d v="2011-01-24T00:00:00"/>
    <n v="1"/>
    <n v="0"/>
    <n v="1"/>
    <x v="22"/>
    <b v="0"/>
    <n v="1"/>
    <n v="2"/>
    <n v="0.14000000000000001"/>
    <n v="0.13639999999999999"/>
    <n v="0.63"/>
    <n v="0.22389999999999999"/>
    <n v="3"/>
    <n v="32"/>
    <n v="35"/>
    <x v="2"/>
  </r>
  <r>
    <n v="548"/>
    <d v="2011-01-24T00:00:00"/>
    <n v="1"/>
    <n v="0"/>
    <n v="1"/>
    <x v="23"/>
    <b v="0"/>
    <n v="1"/>
    <n v="2"/>
    <n v="0.16"/>
    <n v="0.1515"/>
    <n v="0.64"/>
    <n v="0.25369999999999998"/>
    <n v="3"/>
    <n v="21"/>
    <n v="24"/>
    <x v="2"/>
  </r>
  <r>
    <n v="549"/>
    <d v="2011-01-25T00:00:00"/>
    <n v="1"/>
    <n v="0"/>
    <n v="1"/>
    <x v="0"/>
    <b v="0"/>
    <n v="2"/>
    <n v="2"/>
    <n v="0.16"/>
    <n v="0.13639999999999999"/>
    <n v="0.69"/>
    <n v="0.28360000000000002"/>
    <n v="3"/>
    <n v="6"/>
    <n v="9"/>
    <x v="3"/>
  </r>
  <r>
    <n v="550"/>
    <d v="2011-01-25T00:00:00"/>
    <n v="1"/>
    <n v="0"/>
    <n v="1"/>
    <x v="1"/>
    <b v="0"/>
    <n v="2"/>
    <n v="2"/>
    <n v="0.16"/>
    <n v="0.16669999999999999"/>
    <n v="0.69"/>
    <n v="0.16420000000000001"/>
    <n v="0"/>
    <n v="5"/>
    <n v="5"/>
    <x v="3"/>
  </r>
  <r>
    <n v="551"/>
    <d v="2011-01-25T00:00:00"/>
    <n v="1"/>
    <n v="0"/>
    <n v="1"/>
    <x v="2"/>
    <b v="0"/>
    <n v="2"/>
    <n v="1"/>
    <n v="0.16"/>
    <n v="0.1515"/>
    <n v="0.69"/>
    <n v="0.22389999999999999"/>
    <n v="0"/>
    <n v="2"/>
    <n v="2"/>
    <x v="3"/>
  </r>
  <r>
    <n v="552"/>
    <d v="2011-01-25T00:00:00"/>
    <n v="1"/>
    <n v="0"/>
    <n v="1"/>
    <x v="4"/>
    <b v="0"/>
    <n v="2"/>
    <n v="1"/>
    <n v="0.14000000000000001"/>
    <n v="0.16669999999999999"/>
    <n v="0.74"/>
    <n v="0.1045"/>
    <n v="0"/>
    <n v="1"/>
    <n v="1"/>
    <x v="3"/>
  </r>
  <r>
    <n v="553"/>
    <d v="2011-01-25T00:00:00"/>
    <n v="1"/>
    <n v="0"/>
    <n v="1"/>
    <x v="5"/>
    <b v="0"/>
    <n v="2"/>
    <n v="1"/>
    <n v="0.14000000000000001"/>
    <n v="0.13639999999999999"/>
    <n v="0.74"/>
    <n v="0.22389999999999999"/>
    <n v="0"/>
    <n v="9"/>
    <n v="9"/>
    <x v="3"/>
  </r>
  <r>
    <n v="554"/>
    <d v="2011-01-25T00:00:00"/>
    <n v="1"/>
    <n v="0"/>
    <n v="1"/>
    <x v="6"/>
    <b v="0"/>
    <n v="2"/>
    <n v="1"/>
    <n v="0.16"/>
    <n v="0.18179999999999999"/>
    <n v="0.74"/>
    <n v="0.1045"/>
    <n v="1"/>
    <n v="35"/>
    <n v="36"/>
    <x v="3"/>
  </r>
  <r>
    <n v="555"/>
    <d v="2011-01-25T00:00:00"/>
    <n v="1"/>
    <n v="0"/>
    <n v="1"/>
    <x v="7"/>
    <b v="0"/>
    <n v="2"/>
    <n v="1"/>
    <n v="0.16"/>
    <n v="0.1515"/>
    <n v="0.74"/>
    <n v="0.22389999999999999"/>
    <n v="5"/>
    <n v="103"/>
    <n v="108"/>
    <x v="3"/>
  </r>
  <r>
    <n v="556"/>
    <d v="2011-01-25T00:00:00"/>
    <n v="1"/>
    <n v="0"/>
    <n v="1"/>
    <x v="8"/>
    <b v="0"/>
    <n v="2"/>
    <n v="2"/>
    <n v="0.16"/>
    <n v="0.18179999999999999"/>
    <n v="0.74"/>
    <n v="0.1343"/>
    <n v="5"/>
    <n v="233"/>
    <n v="238"/>
    <x v="3"/>
  </r>
  <r>
    <n v="557"/>
    <d v="2011-01-25T00:00:00"/>
    <n v="1"/>
    <n v="0"/>
    <n v="1"/>
    <x v="9"/>
    <b v="0"/>
    <n v="2"/>
    <n v="2"/>
    <n v="0.2"/>
    <n v="0.2273"/>
    <n v="0.64"/>
    <n v="8.9599999999999999E-2"/>
    <n v="10"/>
    <n v="134"/>
    <n v="144"/>
    <x v="3"/>
  </r>
  <r>
    <n v="558"/>
    <d v="2011-01-25T00:00:00"/>
    <n v="1"/>
    <n v="0"/>
    <n v="1"/>
    <x v="10"/>
    <b v="0"/>
    <n v="2"/>
    <n v="2"/>
    <n v="0.22"/>
    <n v="0.2424"/>
    <n v="0.6"/>
    <n v="0.1045"/>
    <n v="6"/>
    <n v="49"/>
    <n v="55"/>
    <x v="3"/>
  </r>
  <r>
    <n v="559"/>
    <d v="2011-01-25T00:00:00"/>
    <n v="1"/>
    <n v="0"/>
    <n v="1"/>
    <x v="11"/>
    <b v="0"/>
    <n v="2"/>
    <n v="2"/>
    <n v="0.24"/>
    <n v="0.2424"/>
    <n v="0.6"/>
    <n v="0.1343"/>
    <n v="6"/>
    <n v="55"/>
    <n v="61"/>
    <x v="3"/>
  </r>
  <r>
    <n v="560"/>
    <d v="2011-01-25T00:00:00"/>
    <n v="1"/>
    <n v="0"/>
    <n v="1"/>
    <x v="12"/>
    <b v="0"/>
    <n v="2"/>
    <n v="2"/>
    <n v="0.26"/>
    <n v="0.28789999999999999"/>
    <n v="0.56000000000000005"/>
    <n v="8.9599999999999999E-2"/>
    <n v="21"/>
    <n v="85"/>
    <n v="106"/>
    <x v="3"/>
  </r>
  <r>
    <n v="561"/>
    <d v="2011-01-25T00:00:00"/>
    <n v="1"/>
    <n v="0"/>
    <n v="1"/>
    <x v="13"/>
    <b v="0"/>
    <n v="2"/>
    <n v="2"/>
    <n v="0.26"/>
    <n v="0.2727"/>
    <n v="0.56000000000000005"/>
    <n v="0.1343"/>
    <n v="21"/>
    <n v="72"/>
    <n v="93"/>
    <x v="3"/>
  </r>
  <r>
    <n v="562"/>
    <d v="2011-01-25T00:00:00"/>
    <n v="1"/>
    <n v="0"/>
    <n v="1"/>
    <x v="14"/>
    <b v="0"/>
    <n v="2"/>
    <n v="2"/>
    <n v="0.3"/>
    <n v="0.33329999999999999"/>
    <n v="0.45"/>
    <n v="0"/>
    <n v="11"/>
    <n v="57"/>
    <n v="68"/>
    <x v="3"/>
  </r>
  <r>
    <n v="563"/>
    <d v="2011-01-25T00:00:00"/>
    <n v="1"/>
    <n v="0"/>
    <n v="1"/>
    <x v="15"/>
    <b v="0"/>
    <n v="2"/>
    <n v="2"/>
    <n v="0.32"/>
    <n v="0.34849999999999998"/>
    <n v="0.42"/>
    <n v="0"/>
    <n v="21"/>
    <n v="63"/>
    <n v="84"/>
    <x v="3"/>
  </r>
  <r>
    <n v="564"/>
    <d v="2011-01-25T00:00:00"/>
    <n v="1"/>
    <n v="0"/>
    <n v="1"/>
    <x v="16"/>
    <b v="0"/>
    <n v="2"/>
    <n v="2"/>
    <n v="0.32"/>
    <n v="0.34849999999999998"/>
    <n v="0.42"/>
    <n v="0"/>
    <n v="14"/>
    <n v="102"/>
    <n v="116"/>
    <x v="3"/>
  </r>
  <r>
    <n v="565"/>
    <d v="2011-01-25T00:00:00"/>
    <n v="1"/>
    <n v="0"/>
    <n v="1"/>
    <x v="17"/>
    <b v="0"/>
    <n v="2"/>
    <n v="1"/>
    <n v="0.3"/>
    <n v="0.33329999999999999"/>
    <n v="0.45"/>
    <n v="0"/>
    <n v="14"/>
    <n v="208"/>
    <n v="222"/>
    <x v="3"/>
  </r>
  <r>
    <n v="566"/>
    <d v="2011-01-25T00:00:00"/>
    <n v="1"/>
    <n v="0"/>
    <n v="1"/>
    <x v="18"/>
    <b v="0"/>
    <n v="2"/>
    <n v="2"/>
    <n v="0.3"/>
    <n v="0.31819999999999998"/>
    <n v="0.49"/>
    <n v="8.9599999999999999E-2"/>
    <n v="7"/>
    <n v="218"/>
    <n v="225"/>
    <x v="3"/>
  </r>
  <r>
    <n v="567"/>
    <d v="2011-01-25T00:00:00"/>
    <n v="1"/>
    <n v="0"/>
    <n v="1"/>
    <x v="19"/>
    <b v="0"/>
    <n v="2"/>
    <n v="2"/>
    <n v="0.26"/>
    <n v="0.2576"/>
    <n v="0.65"/>
    <n v="0.16420000000000001"/>
    <n v="13"/>
    <n v="133"/>
    <n v="146"/>
    <x v="3"/>
  </r>
  <r>
    <n v="568"/>
    <d v="2011-01-25T00:00:00"/>
    <n v="1"/>
    <n v="0"/>
    <n v="1"/>
    <x v="20"/>
    <b v="0"/>
    <n v="2"/>
    <n v="1"/>
    <n v="0.24"/>
    <n v="0.2273"/>
    <n v="0.65"/>
    <n v="0.19400000000000001"/>
    <n v="16"/>
    <n v="103"/>
    <n v="119"/>
    <x v="3"/>
  </r>
  <r>
    <n v="569"/>
    <d v="2011-01-25T00:00:00"/>
    <n v="1"/>
    <n v="0"/>
    <n v="1"/>
    <x v="21"/>
    <b v="0"/>
    <n v="2"/>
    <n v="1"/>
    <n v="0.24"/>
    <n v="0.2273"/>
    <n v="0.65"/>
    <n v="0.19400000000000001"/>
    <n v="5"/>
    <n v="40"/>
    <n v="45"/>
    <x v="3"/>
  </r>
  <r>
    <n v="570"/>
    <d v="2011-01-25T00:00:00"/>
    <n v="1"/>
    <n v="0"/>
    <n v="1"/>
    <x v="22"/>
    <b v="0"/>
    <n v="2"/>
    <n v="1"/>
    <n v="0.22"/>
    <n v="0.2273"/>
    <n v="0.64"/>
    <n v="0.16420000000000001"/>
    <n v="4"/>
    <n v="49"/>
    <n v="53"/>
    <x v="3"/>
  </r>
  <r>
    <n v="571"/>
    <d v="2011-01-25T00:00:00"/>
    <n v="1"/>
    <n v="0"/>
    <n v="1"/>
    <x v="23"/>
    <b v="0"/>
    <n v="2"/>
    <n v="2"/>
    <n v="0.22"/>
    <n v="0.2273"/>
    <n v="0.64"/>
    <n v="0.16420000000000001"/>
    <n v="3"/>
    <n v="37"/>
    <n v="40"/>
    <x v="3"/>
  </r>
  <r>
    <n v="572"/>
    <d v="2011-01-26T00:00:00"/>
    <n v="1"/>
    <n v="0"/>
    <n v="1"/>
    <x v="0"/>
    <b v="0"/>
    <n v="3"/>
    <n v="2"/>
    <n v="0.22"/>
    <n v="0.2273"/>
    <n v="0.69"/>
    <n v="0.1343"/>
    <n v="3"/>
    <n v="14"/>
    <n v="17"/>
    <x v="4"/>
  </r>
  <r>
    <n v="573"/>
    <d v="2011-01-26T00:00:00"/>
    <n v="1"/>
    <n v="0"/>
    <n v="1"/>
    <x v="1"/>
    <b v="0"/>
    <n v="3"/>
    <n v="2"/>
    <n v="0.24"/>
    <n v="0.2424"/>
    <n v="0.65"/>
    <n v="0.1343"/>
    <n v="0"/>
    <n v="5"/>
    <n v="5"/>
    <x v="4"/>
  </r>
  <r>
    <n v="574"/>
    <d v="2011-01-26T00:00:00"/>
    <n v="1"/>
    <n v="0"/>
    <n v="1"/>
    <x v="2"/>
    <b v="0"/>
    <n v="3"/>
    <n v="3"/>
    <n v="0.22"/>
    <n v="0.2273"/>
    <n v="0.69"/>
    <n v="0.19400000000000001"/>
    <n v="3"/>
    <n v="7"/>
    <n v="10"/>
    <x v="4"/>
  </r>
  <r>
    <n v="575"/>
    <d v="2011-01-26T00:00:00"/>
    <n v="1"/>
    <n v="0"/>
    <n v="1"/>
    <x v="5"/>
    <b v="0"/>
    <n v="3"/>
    <n v="3"/>
    <n v="0.2"/>
    <n v="0.18179999999999999"/>
    <n v="0.86"/>
    <n v="0.28360000000000002"/>
    <n v="0"/>
    <n v="1"/>
    <n v="1"/>
    <x v="4"/>
  </r>
  <r>
    <n v="576"/>
    <d v="2011-01-26T00:00:00"/>
    <n v="1"/>
    <n v="0"/>
    <n v="1"/>
    <x v="6"/>
    <b v="0"/>
    <n v="3"/>
    <n v="3"/>
    <n v="0.2"/>
    <n v="0.18179999999999999"/>
    <n v="0.86"/>
    <n v="0.28360000000000002"/>
    <n v="0"/>
    <n v="8"/>
    <n v="8"/>
    <x v="4"/>
  </r>
  <r>
    <n v="577"/>
    <d v="2011-01-26T00:00:00"/>
    <n v="1"/>
    <n v="0"/>
    <n v="1"/>
    <x v="7"/>
    <b v="0"/>
    <n v="3"/>
    <n v="3"/>
    <n v="0.22"/>
    <n v="0.21210000000000001"/>
    <n v="0.87"/>
    <n v="0.29849999999999999"/>
    <n v="1"/>
    <n v="29"/>
    <n v="30"/>
    <x v="4"/>
  </r>
  <r>
    <n v="578"/>
    <d v="2011-01-26T00:00:00"/>
    <n v="1"/>
    <n v="0"/>
    <n v="1"/>
    <x v="8"/>
    <b v="0"/>
    <n v="3"/>
    <n v="3"/>
    <n v="0.22"/>
    <n v="0.21210000000000001"/>
    <n v="0.87"/>
    <n v="0.29849999999999999"/>
    <n v="3"/>
    <n v="69"/>
    <n v="72"/>
    <x v="4"/>
  </r>
  <r>
    <n v="579"/>
    <d v="2011-01-26T00:00:00"/>
    <n v="1"/>
    <n v="0"/>
    <n v="1"/>
    <x v="9"/>
    <b v="0"/>
    <n v="3"/>
    <n v="3"/>
    <n v="0.22"/>
    <n v="0.21210000000000001"/>
    <n v="0.87"/>
    <n v="0.29849999999999999"/>
    <n v="3"/>
    <n v="55"/>
    <n v="58"/>
    <x v="4"/>
  </r>
  <r>
    <n v="580"/>
    <d v="2011-01-26T00:00:00"/>
    <n v="1"/>
    <n v="0"/>
    <n v="1"/>
    <x v="10"/>
    <b v="0"/>
    <n v="3"/>
    <n v="3"/>
    <n v="0.22"/>
    <n v="0.21210000000000001"/>
    <n v="0.93"/>
    <n v="0.28360000000000002"/>
    <n v="2"/>
    <n v="26"/>
    <n v="28"/>
    <x v="4"/>
  </r>
  <r>
    <n v="581"/>
    <d v="2011-01-26T00:00:00"/>
    <n v="1"/>
    <n v="0"/>
    <n v="1"/>
    <x v="11"/>
    <b v="0"/>
    <n v="3"/>
    <n v="3"/>
    <n v="0.22"/>
    <n v="0.19700000000000001"/>
    <n v="0.93"/>
    <n v="0.32840000000000003"/>
    <n v="6"/>
    <n v="35"/>
    <n v="41"/>
    <x v="4"/>
  </r>
  <r>
    <n v="582"/>
    <d v="2011-01-26T00:00:00"/>
    <n v="1"/>
    <n v="0"/>
    <n v="1"/>
    <x v="12"/>
    <b v="0"/>
    <n v="3"/>
    <n v="3"/>
    <n v="0.22"/>
    <n v="0.19700000000000001"/>
    <n v="0.93"/>
    <n v="0.32840000000000003"/>
    <n v="7"/>
    <n v="41"/>
    <n v="48"/>
    <x v="4"/>
  </r>
  <r>
    <n v="583"/>
    <d v="2011-01-26T00:00:00"/>
    <n v="1"/>
    <n v="0"/>
    <n v="1"/>
    <x v="13"/>
    <b v="0"/>
    <n v="3"/>
    <n v="3"/>
    <n v="0.22"/>
    <n v="0.19700000000000001"/>
    <n v="0.93"/>
    <n v="0.32840000000000003"/>
    <n v="4"/>
    <n v="43"/>
    <n v="47"/>
    <x v="4"/>
  </r>
  <r>
    <n v="584"/>
    <d v="2011-01-26T00:00:00"/>
    <n v="1"/>
    <n v="0"/>
    <n v="1"/>
    <x v="14"/>
    <b v="0"/>
    <n v="3"/>
    <n v="3"/>
    <n v="0.22"/>
    <n v="0.19700000000000001"/>
    <n v="0.93"/>
    <n v="0.35820000000000002"/>
    <n v="0"/>
    <n v="36"/>
    <n v="36"/>
    <x v="4"/>
  </r>
  <r>
    <n v="585"/>
    <d v="2011-01-26T00:00:00"/>
    <n v="1"/>
    <n v="0"/>
    <n v="1"/>
    <x v="15"/>
    <b v="0"/>
    <n v="3"/>
    <n v="3"/>
    <n v="0.22"/>
    <n v="0.18179999999999999"/>
    <n v="0.93"/>
    <n v="0.4627"/>
    <n v="1"/>
    <n v="42"/>
    <n v="43"/>
    <x v="4"/>
  </r>
  <r>
    <n v="586"/>
    <d v="2011-01-26T00:00:00"/>
    <n v="1"/>
    <n v="0"/>
    <n v="1"/>
    <x v="16"/>
    <b v="0"/>
    <n v="3"/>
    <n v="4"/>
    <n v="0.22"/>
    <n v="0.19700000000000001"/>
    <n v="0.93"/>
    <n v="0.32840000000000003"/>
    <n v="1"/>
    <n v="35"/>
    <n v="36"/>
    <x v="4"/>
  </r>
  <r>
    <n v="587"/>
    <d v="2011-01-26T00:00:00"/>
    <n v="1"/>
    <n v="0"/>
    <n v="1"/>
    <x v="17"/>
    <b v="0"/>
    <n v="3"/>
    <n v="3"/>
    <n v="0.2"/>
    <n v="0.18179999999999999"/>
    <n v="0.93"/>
    <n v="0.35820000000000002"/>
    <n v="0"/>
    <n v="26"/>
    <n v="26"/>
    <x v="4"/>
  </r>
  <r>
    <n v="588"/>
    <d v="2011-01-27T00:00:00"/>
    <n v="1"/>
    <n v="0"/>
    <n v="1"/>
    <x v="16"/>
    <b v="0"/>
    <n v="4"/>
    <n v="1"/>
    <n v="0.22"/>
    <n v="0.2273"/>
    <n v="0.55000000000000004"/>
    <n v="0.19400000000000001"/>
    <n v="1"/>
    <n v="23"/>
    <n v="24"/>
    <x v="5"/>
  </r>
  <r>
    <n v="589"/>
    <d v="2011-01-27T00:00:00"/>
    <n v="1"/>
    <n v="0"/>
    <n v="1"/>
    <x v="17"/>
    <b v="0"/>
    <n v="4"/>
    <n v="1"/>
    <n v="0.22"/>
    <n v="0.2424"/>
    <n v="0.55000000000000004"/>
    <n v="0.1045"/>
    <n v="2"/>
    <n v="82"/>
    <n v="84"/>
    <x v="5"/>
  </r>
  <r>
    <n v="590"/>
    <d v="2011-01-27T00:00:00"/>
    <n v="1"/>
    <n v="0"/>
    <n v="1"/>
    <x v="18"/>
    <b v="0"/>
    <n v="4"/>
    <n v="1"/>
    <n v="0.2"/>
    <n v="0.2273"/>
    <n v="0.69"/>
    <n v="8.9599999999999999E-2"/>
    <n v="3"/>
    <n v="101"/>
    <n v="104"/>
    <x v="5"/>
  </r>
  <r>
    <n v="591"/>
    <d v="2011-01-27T00:00:00"/>
    <n v="1"/>
    <n v="0"/>
    <n v="1"/>
    <x v="19"/>
    <b v="0"/>
    <n v="4"/>
    <n v="1"/>
    <n v="0.2"/>
    <n v="0.2273"/>
    <n v="0.69"/>
    <n v="8.9599999999999999E-2"/>
    <n v="3"/>
    <n v="76"/>
    <n v="79"/>
    <x v="5"/>
  </r>
  <r>
    <n v="592"/>
    <d v="2011-01-27T00:00:00"/>
    <n v="1"/>
    <n v="0"/>
    <n v="1"/>
    <x v="20"/>
    <b v="0"/>
    <n v="4"/>
    <n v="1"/>
    <n v="0.18"/>
    <n v="0.21210000000000001"/>
    <n v="0.74"/>
    <n v="8.9599999999999999E-2"/>
    <n v="4"/>
    <n v="55"/>
    <n v="59"/>
    <x v="5"/>
  </r>
  <r>
    <n v="593"/>
    <d v="2011-01-27T00:00:00"/>
    <n v="1"/>
    <n v="0"/>
    <n v="1"/>
    <x v="21"/>
    <b v="0"/>
    <n v="4"/>
    <n v="1"/>
    <n v="0.18"/>
    <n v="0.21210000000000001"/>
    <n v="0.74"/>
    <n v="8.9599999999999999E-2"/>
    <n v="2"/>
    <n v="36"/>
    <n v="38"/>
    <x v="5"/>
  </r>
  <r>
    <n v="594"/>
    <d v="2011-01-27T00:00:00"/>
    <n v="1"/>
    <n v="0"/>
    <n v="1"/>
    <x v="22"/>
    <b v="0"/>
    <n v="4"/>
    <n v="1"/>
    <n v="0.18"/>
    <n v="0.21210000000000001"/>
    <n v="0.74"/>
    <n v="8.9599999999999999E-2"/>
    <n v="0"/>
    <n v="27"/>
    <n v="27"/>
    <x v="5"/>
  </r>
  <r>
    <n v="595"/>
    <d v="2011-01-27T00:00:00"/>
    <n v="1"/>
    <n v="0"/>
    <n v="1"/>
    <x v="23"/>
    <b v="0"/>
    <n v="4"/>
    <n v="1"/>
    <n v="0.18"/>
    <n v="0.19700000000000001"/>
    <n v="0.8"/>
    <n v="0.16420000000000001"/>
    <n v="0"/>
    <n v="16"/>
    <n v="16"/>
    <x v="5"/>
  </r>
  <r>
    <n v="596"/>
    <d v="2011-01-28T00:00:00"/>
    <n v="1"/>
    <n v="0"/>
    <n v="1"/>
    <x v="0"/>
    <b v="0"/>
    <n v="5"/>
    <n v="2"/>
    <n v="0.2"/>
    <n v="0.21210000000000001"/>
    <n v="0.75"/>
    <n v="0.1343"/>
    <n v="0"/>
    <n v="9"/>
    <n v="9"/>
    <x v="6"/>
  </r>
  <r>
    <n v="597"/>
    <d v="2011-01-28T00:00:00"/>
    <n v="1"/>
    <n v="0"/>
    <n v="1"/>
    <x v="1"/>
    <b v="0"/>
    <n v="5"/>
    <n v="2"/>
    <n v="0.2"/>
    <n v="0.21210000000000001"/>
    <n v="0.75"/>
    <n v="0.1343"/>
    <n v="1"/>
    <n v="2"/>
    <n v="3"/>
    <x v="6"/>
  </r>
  <r>
    <n v="598"/>
    <d v="2011-01-28T00:00:00"/>
    <n v="1"/>
    <n v="0"/>
    <n v="1"/>
    <x v="2"/>
    <b v="0"/>
    <n v="5"/>
    <n v="2"/>
    <n v="0.2"/>
    <n v="0.21210000000000001"/>
    <n v="0.75"/>
    <n v="0.16420000000000001"/>
    <n v="0"/>
    <n v="2"/>
    <n v="2"/>
    <x v="6"/>
  </r>
  <r>
    <n v="599"/>
    <d v="2011-01-28T00:00:00"/>
    <n v="1"/>
    <n v="0"/>
    <n v="1"/>
    <x v="3"/>
    <b v="0"/>
    <n v="5"/>
    <n v="2"/>
    <n v="0.2"/>
    <n v="0.2273"/>
    <n v="0.75"/>
    <n v="0.1045"/>
    <n v="1"/>
    <n v="0"/>
    <n v="1"/>
    <x v="6"/>
  </r>
  <r>
    <n v="600"/>
    <d v="2011-01-28T00:00:00"/>
    <n v="1"/>
    <n v="0"/>
    <n v="1"/>
    <x v="5"/>
    <b v="0"/>
    <n v="5"/>
    <n v="2"/>
    <n v="0.18"/>
    <n v="0.21210000000000001"/>
    <n v="0.8"/>
    <n v="0.1045"/>
    <n v="0"/>
    <n v="4"/>
    <n v="4"/>
    <x v="6"/>
  </r>
  <r>
    <n v="601"/>
    <d v="2011-01-28T00:00:00"/>
    <n v="1"/>
    <n v="0"/>
    <n v="1"/>
    <x v="6"/>
    <b v="0"/>
    <n v="5"/>
    <n v="2"/>
    <n v="0.18"/>
    <n v="0.19700000000000001"/>
    <n v="0.8"/>
    <n v="0.1343"/>
    <n v="0"/>
    <n v="16"/>
    <n v="16"/>
    <x v="6"/>
  </r>
  <r>
    <n v="602"/>
    <d v="2011-01-28T00:00:00"/>
    <n v="1"/>
    <n v="0"/>
    <n v="1"/>
    <x v="7"/>
    <b v="0"/>
    <n v="5"/>
    <n v="2"/>
    <n v="0.16"/>
    <n v="0.19700000000000001"/>
    <n v="0.86"/>
    <n v="8.9599999999999999E-2"/>
    <n v="2"/>
    <n v="58"/>
    <n v="60"/>
    <x v="6"/>
  </r>
  <r>
    <n v="603"/>
    <d v="2011-01-28T00:00:00"/>
    <n v="1"/>
    <n v="0"/>
    <n v="1"/>
    <x v="8"/>
    <b v="0"/>
    <n v="5"/>
    <n v="2"/>
    <n v="0.16"/>
    <n v="0.19700000000000001"/>
    <n v="0.86"/>
    <n v="8.9599999999999999E-2"/>
    <n v="2"/>
    <n v="155"/>
    <n v="157"/>
    <x v="6"/>
  </r>
  <r>
    <n v="604"/>
    <d v="2011-01-28T00:00:00"/>
    <n v="1"/>
    <n v="0"/>
    <n v="1"/>
    <x v="9"/>
    <b v="0"/>
    <n v="5"/>
    <n v="3"/>
    <n v="0.18"/>
    <n v="0.21210000000000001"/>
    <n v="0.86"/>
    <n v="8.9599999999999999E-2"/>
    <n v="6"/>
    <n v="95"/>
    <n v="101"/>
    <x v="6"/>
  </r>
  <r>
    <n v="605"/>
    <d v="2011-01-28T00:00:00"/>
    <n v="1"/>
    <n v="0"/>
    <n v="1"/>
    <x v="10"/>
    <b v="0"/>
    <n v="5"/>
    <n v="3"/>
    <n v="0.18"/>
    <n v="0.21210000000000001"/>
    <n v="0.86"/>
    <n v="0.1045"/>
    <n v="0"/>
    <n v="49"/>
    <n v="49"/>
    <x v="6"/>
  </r>
  <r>
    <n v="606"/>
    <d v="2011-01-28T00:00:00"/>
    <n v="1"/>
    <n v="0"/>
    <n v="1"/>
    <x v="11"/>
    <b v="0"/>
    <n v="5"/>
    <n v="3"/>
    <n v="0.18"/>
    <n v="0.21210000000000001"/>
    <n v="0.93"/>
    <n v="0.1045"/>
    <n v="0"/>
    <n v="30"/>
    <n v="30"/>
    <x v="6"/>
  </r>
  <r>
    <n v="607"/>
    <d v="2011-01-28T00:00:00"/>
    <n v="1"/>
    <n v="0"/>
    <n v="1"/>
    <x v="12"/>
    <b v="0"/>
    <n v="5"/>
    <n v="3"/>
    <n v="0.18"/>
    <n v="0.21210000000000001"/>
    <n v="0.93"/>
    <n v="0.1045"/>
    <n v="1"/>
    <n v="28"/>
    <n v="29"/>
    <x v="6"/>
  </r>
  <r>
    <n v="608"/>
    <d v="2011-01-28T00:00:00"/>
    <n v="1"/>
    <n v="0"/>
    <n v="1"/>
    <x v="13"/>
    <b v="0"/>
    <n v="5"/>
    <n v="3"/>
    <n v="0.18"/>
    <n v="0.21210000000000001"/>
    <n v="0.93"/>
    <n v="0.1045"/>
    <n v="0"/>
    <n v="31"/>
    <n v="31"/>
    <x v="6"/>
  </r>
  <r>
    <n v="609"/>
    <d v="2011-01-28T00:00:00"/>
    <n v="1"/>
    <n v="0"/>
    <n v="1"/>
    <x v="14"/>
    <b v="0"/>
    <n v="5"/>
    <n v="3"/>
    <n v="0.22"/>
    <n v="0.2727"/>
    <n v="0.8"/>
    <n v="0"/>
    <n v="2"/>
    <n v="36"/>
    <n v="38"/>
    <x v="6"/>
  </r>
  <r>
    <n v="610"/>
    <d v="2011-01-28T00:00:00"/>
    <n v="1"/>
    <n v="0"/>
    <n v="1"/>
    <x v="15"/>
    <b v="0"/>
    <n v="5"/>
    <n v="2"/>
    <n v="0.2"/>
    <n v="0.2576"/>
    <n v="0.86"/>
    <n v="0"/>
    <n v="1"/>
    <n v="40"/>
    <n v="41"/>
    <x v="6"/>
  </r>
  <r>
    <n v="611"/>
    <d v="2011-01-28T00:00:00"/>
    <n v="1"/>
    <n v="0"/>
    <n v="1"/>
    <x v="16"/>
    <b v="0"/>
    <n v="5"/>
    <n v="1"/>
    <n v="0.22"/>
    <n v="0.2727"/>
    <n v="0.8"/>
    <n v="0"/>
    <n v="10"/>
    <n v="70"/>
    <n v="80"/>
    <x v="6"/>
  </r>
  <r>
    <n v="612"/>
    <d v="2011-01-28T00:00:00"/>
    <n v="1"/>
    <n v="0"/>
    <n v="1"/>
    <x v="17"/>
    <b v="0"/>
    <n v="5"/>
    <n v="1"/>
    <n v="0.24"/>
    <n v="0.2424"/>
    <n v="0.75"/>
    <n v="0.1343"/>
    <n v="2"/>
    <n v="147"/>
    <n v="149"/>
    <x v="6"/>
  </r>
  <r>
    <n v="613"/>
    <d v="2011-01-28T00:00:00"/>
    <n v="1"/>
    <n v="0"/>
    <n v="1"/>
    <x v="18"/>
    <b v="0"/>
    <n v="5"/>
    <n v="1"/>
    <n v="0.24"/>
    <n v="0.2273"/>
    <n v="0.75"/>
    <n v="0.19400000000000001"/>
    <n v="2"/>
    <n v="107"/>
    <n v="109"/>
    <x v="6"/>
  </r>
  <r>
    <n v="614"/>
    <d v="2011-01-28T00:00:00"/>
    <n v="1"/>
    <n v="0"/>
    <n v="1"/>
    <x v="19"/>
    <b v="0"/>
    <n v="5"/>
    <n v="2"/>
    <n v="0.24"/>
    <n v="0.2424"/>
    <n v="0.75"/>
    <n v="0.1343"/>
    <n v="5"/>
    <n v="84"/>
    <n v="89"/>
    <x v="6"/>
  </r>
  <r>
    <n v="615"/>
    <d v="2011-01-28T00:00:00"/>
    <n v="1"/>
    <n v="0"/>
    <n v="1"/>
    <x v="20"/>
    <b v="0"/>
    <n v="5"/>
    <n v="2"/>
    <n v="0.24"/>
    <n v="0.2273"/>
    <n v="0.7"/>
    <n v="0.19400000000000001"/>
    <n v="1"/>
    <n v="61"/>
    <n v="62"/>
    <x v="6"/>
  </r>
  <r>
    <n v="616"/>
    <d v="2011-01-28T00:00:00"/>
    <n v="1"/>
    <n v="0"/>
    <n v="1"/>
    <x v="21"/>
    <b v="0"/>
    <n v="5"/>
    <n v="2"/>
    <n v="0.22"/>
    <n v="0.2273"/>
    <n v="0.75"/>
    <n v="0.1343"/>
    <n v="1"/>
    <n v="57"/>
    <n v="58"/>
    <x v="6"/>
  </r>
  <r>
    <n v="617"/>
    <d v="2011-01-28T00:00:00"/>
    <n v="1"/>
    <n v="0"/>
    <n v="1"/>
    <x v="22"/>
    <b v="0"/>
    <n v="5"/>
    <n v="1"/>
    <n v="0.24"/>
    <n v="0.21210000000000001"/>
    <n v="0.65"/>
    <n v="0.35820000000000002"/>
    <n v="0"/>
    <n v="26"/>
    <n v="26"/>
    <x v="6"/>
  </r>
  <r>
    <n v="618"/>
    <d v="2011-01-28T00:00:00"/>
    <n v="1"/>
    <n v="0"/>
    <n v="1"/>
    <x v="23"/>
    <b v="0"/>
    <n v="5"/>
    <n v="1"/>
    <n v="0.24"/>
    <n v="0.2273"/>
    <n v="0.6"/>
    <n v="0.22389999999999999"/>
    <n v="1"/>
    <n v="22"/>
    <n v="23"/>
    <x v="6"/>
  </r>
  <r>
    <n v="619"/>
    <d v="2011-01-29T00:00:00"/>
    <n v="1"/>
    <n v="0"/>
    <n v="1"/>
    <x v="0"/>
    <b v="0"/>
    <n v="6"/>
    <n v="1"/>
    <n v="0.22"/>
    <n v="0.19700000000000001"/>
    <n v="0.64"/>
    <n v="0.35820000000000002"/>
    <n v="2"/>
    <n v="26"/>
    <n v="28"/>
    <x v="0"/>
  </r>
  <r>
    <n v="620"/>
    <d v="2011-01-29T00:00:00"/>
    <n v="1"/>
    <n v="0"/>
    <n v="1"/>
    <x v="1"/>
    <b v="0"/>
    <n v="6"/>
    <n v="1"/>
    <n v="0.22"/>
    <n v="0.2273"/>
    <n v="0.64"/>
    <n v="0.19400000000000001"/>
    <n v="0"/>
    <n v="20"/>
    <n v="20"/>
    <x v="0"/>
  </r>
  <r>
    <n v="621"/>
    <d v="2011-01-29T00:00:00"/>
    <n v="1"/>
    <n v="0"/>
    <n v="1"/>
    <x v="2"/>
    <b v="0"/>
    <n v="6"/>
    <n v="1"/>
    <n v="0.22"/>
    <n v="0.2273"/>
    <n v="0.64"/>
    <n v="0.16420000000000001"/>
    <n v="0"/>
    <n v="15"/>
    <n v="15"/>
    <x v="0"/>
  </r>
  <r>
    <n v="622"/>
    <d v="2011-01-29T00:00:00"/>
    <n v="1"/>
    <n v="0"/>
    <n v="1"/>
    <x v="3"/>
    <b v="0"/>
    <n v="6"/>
    <n v="1"/>
    <n v="0.2"/>
    <n v="0.21210000000000001"/>
    <n v="0.64"/>
    <n v="0.1343"/>
    <n v="3"/>
    <n v="5"/>
    <n v="8"/>
    <x v="0"/>
  </r>
  <r>
    <n v="623"/>
    <d v="2011-01-29T00:00:00"/>
    <n v="1"/>
    <n v="0"/>
    <n v="1"/>
    <x v="4"/>
    <b v="0"/>
    <n v="6"/>
    <n v="1"/>
    <n v="0.16"/>
    <n v="0.18179999999999999"/>
    <n v="0.69"/>
    <n v="0.1045"/>
    <n v="1"/>
    <n v="2"/>
    <n v="3"/>
    <x v="0"/>
  </r>
  <r>
    <n v="624"/>
    <d v="2011-01-29T00:00:00"/>
    <n v="1"/>
    <n v="0"/>
    <n v="1"/>
    <x v="6"/>
    <b v="0"/>
    <n v="6"/>
    <n v="1"/>
    <n v="0.16"/>
    <n v="0.18179999999999999"/>
    <n v="0.64"/>
    <n v="0.1343"/>
    <n v="0"/>
    <n v="2"/>
    <n v="2"/>
    <x v="0"/>
  </r>
  <r>
    <n v="625"/>
    <d v="2011-01-29T00:00:00"/>
    <n v="1"/>
    <n v="0"/>
    <n v="1"/>
    <x v="7"/>
    <b v="0"/>
    <n v="6"/>
    <n v="1"/>
    <n v="0.16"/>
    <n v="0.18179999999999999"/>
    <n v="0.59"/>
    <n v="0.1045"/>
    <n v="1"/>
    <n v="4"/>
    <n v="5"/>
    <x v="0"/>
  </r>
  <r>
    <n v="626"/>
    <d v="2011-01-29T00:00:00"/>
    <n v="1"/>
    <n v="0"/>
    <n v="1"/>
    <x v="8"/>
    <b v="0"/>
    <n v="6"/>
    <n v="1"/>
    <n v="0.18"/>
    <n v="0.19700000000000001"/>
    <n v="0.55000000000000004"/>
    <n v="0.16420000000000001"/>
    <n v="3"/>
    <n v="31"/>
    <n v="34"/>
    <x v="0"/>
  </r>
  <r>
    <n v="627"/>
    <d v="2011-01-29T00:00:00"/>
    <n v="1"/>
    <n v="0"/>
    <n v="1"/>
    <x v="9"/>
    <b v="0"/>
    <n v="6"/>
    <n v="1"/>
    <n v="0.18"/>
    <n v="0.21210000000000001"/>
    <n v="0.59"/>
    <n v="8.9599999999999999E-2"/>
    <n v="0"/>
    <n v="34"/>
    <n v="34"/>
    <x v="0"/>
  </r>
  <r>
    <n v="628"/>
    <d v="2011-01-29T00:00:00"/>
    <n v="1"/>
    <n v="0"/>
    <n v="1"/>
    <x v="10"/>
    <b v="0"/>
    <n v="6"/>
    <n v="2"/>
    <n v="0.18"/>
    <n v="0.21210000000000001"/>
    <n v="0.64"/>
    <n v="0.1045"/>
    <n v="4"/>
    <n v="51"/>
    <n v="55"/>
    <x v="0"/>
  </r>
  <r>
    <n v="629"/>
    <d v="2011-01-29T00:00:00"/>
    <n v="1"/>
    <n v="0"/>
    <n v="1"/>
    <x v="11"/>
    <b v="0"/>
    <n v="6"/>
    <n v="2"/>
    <n v="0.18"/>
    <n v="0.19700000000000001"/>
    <n v="0.64"/>
    <n v="0.1343"/>
    <n v="4"/>
    <n v="60"/>
    <n v="64"/>
    <x v="0"/>
  </r>
  <r>
    <n v="630"/>
    <d v="2011-01-29T00:00:00"/>
    <n v="1"/>
    <n v="0"/>
    <n v="1"/>
    <x v="12"/>
    <b v="0"/>
    <n v="6"/>
    <n v="2"/>
    <n v="0.2"/>
    <n v="0.19700000000000001"/>
    <n v="0.59"/>
    <n v="0.19400000000000001"/>
    <n v="12"/>
    <n v="66"/>
    <n v="78"/>
    <x v="0"/>
  </r>
  <r>
    <n v="631"/>
    <d v="2011-01-29T00:00:00"/>
    <n v="1"/>
    <n v="0"/>
    <n v="1"/>
    <x v="13"/>
    <b v="0"/>
    <n v="6"/>
    <n v="2"/>
    <n v="0.22"/>
    <n v="0.2273"/>
    <n v="0.55000000000000004"/>
    <n v="0.16420000000000001"/>
    <n v="9"/>
    <n v="56"/>
    <n v="65"/>
    <x v="0"/>
  </r>
  <r>
    <n v="632"/>
    <d v="2011-01-29T00:00:00"/>
    <n v="1"/>
    <n v="0"/>
    <n v="1"/>
    <x v="14"/>
    <b v="0"/>
    <n v="6"/>
    <n v="2"/>
    <n v="0.22"/>
    <n v="0.2273"/>
    <n v="0.6"/>
    <n v="0.1343"/>
    <n v="10"/>
    <n v="89"/>
    <n v="99"/>
    <x v="0"/>
  </r>
  <r>
    <n v="633"/>
    <d v="2011-01-29T00:00:00"/>
    <n v="1"/>
    <n v="0"/>
    <n v="1"/>
    <x v="15"/>
    <b v="0"/>
    <n v="6"/>
    <n v="1"/>
    <n v="0.22"/>
    <n v="0.21210000000000001"/>
    <n v="0.69"/>
    <n v="0.25369999999999998"/>
    <n v="22"/>
    <n v="98"/>
    <n v="120"/>
    <x v="0"/>
  </r>
  <r>
    <n v="634"/>
    <d v="2011-01-29T00:00:00"/>
    <n v="1"/>
    <n v="0"/>
    <n v="1"/>
    <x v="16"/>
    <b v="0"/>
    <n v="6"/>
    <n v="1"/>
    <n v="0.24"/>
    <n v="0.2424"/>
    <n v="0.6"/>
    <n v="0.16420000000000001"/>
    <n v="19"/>
    <n v="88"/>
    <n v="107"/>
    <x v="0"/>
  </r>
  <r>
    <n v="635"/>
    <d v="2011-01-29T00:00:00"/>
    <n v="1"/>
    <n v="0"/>
    <n v="1"/>
    <x v="17"/>
    <b v="0"/>
    <n v="6"/>
    <n v="1"/>
    <n v="0.24"/>
    <n v="0.28789999999999999"/>
    <n v="0.6"/>
    <n v="0"/>
    <n v="9"/>
    <n v="82"/>
    <n v="91"/>
    <x v="0"/>
  </r>
  <r>
    <n v="636"/>
    <d v="2011-01-29T00:00:00"/>
    <n v="1"/>
    <n v="0"/>
    <n v="1"/>
    <x v="18"/>
    <b v="0"/>
    <n v="6"/>
    <n v="1"/>
    <n v="0.22"/>
    <n v="0.2273"/>
    <n v="0.69"/>
    <n v="0.1343"/>
    <n v="9"/>
    <n v="59"/>
    <n v="68"/>
    <x v="0"/>
  </r>
  <r>
    <n v="637"/>
    <d v="2011-01-29T00:00:00"/>
    <n v="1"/>
    <n v="0"/>
    <n v="1"/>
    <x v="19"/>
    <b v="0"/>
    <n v="6"/>
    <n v="2"/>
    <n v="0.22"/>
    <n v="0.21210000000000001"/>
    <n v="0.69"/>
    <n v="0.25369999999999998"/>
    <n v="6"/>
    <n v="52"/>
    <n v="58"/>
    <x v="0"/>
  </r>
  <r>
    <n v="638"/>
    <d v="2011-01-29T00:00:00"/>
    <n v="1"/>
    <n v="0"/>
    <n v="1"/>
    <x v="20"/>
    <b v="0"/>
    <n v="6"/>
    <n v="1"/>
    <n v="0.18"/>
    <n v="0.21210000000000001"/>
    <n v="0.74"/>
    <n v="8.9599999999999999E-2"/>
    <n v="1"/>
    <n v="42"/>
    <n v="43"/>
    <x v="0"/>
  </r>
  <r>
    <n v="639"/>
    <d v="2011-01-29T00:00:00"/>
    <n v="1"/>
    <n v="0"/>
    <n v="1"/>
    <x v="21"/>
    <b v="0"/>
    <n v="6"/>
    <n v="1"/>
    <n v="0.18"/>
    <n v="0.21210000000000001"/>
    <n v="0.74"/>
    <n v="8.9599999999999999E-2"/>
    <n v="1"/>
    <n v="35"/>
    <n v="36"/>
    <x v="0"/>
  </r>
  <r>
    <n v="640"/>
    <d v="2011-01-29T00:00:00"/>
    <n v="1"/>
    <n v="0"/>
    <n v="1"/>
    <x v="22"/>
    <b v="0"/>
    <n v="6"/>
    <n v="1"/>
    <n v="0.16"/>
    <n v="0.19700000000000001"/>
    <n v="0.8"/>
    <n v="8.9599999999999999E-2"/>
    <n v="4"/>
    <n v="28"/>
    <n v="32"/>
    <x v="0"/>
  </r>
  <r>
    <n v="641"/>
    <d v="2011-01-29T00:00:00"/>
    <n v="1"/>
    <n v="0"/>
    <n v="1"/>
    <x v="23"/>
    <b v="0"/>
    <n v="6"/>
    <n v="1"/>
    <n v="0.16"/>
    <n v="0.19700000000000001"/>
    <n v="0.8"/>
    <n v="8.9599999999999999E-2"/>
    <n v="3"/>
    <n v="30"/>
    <n v="33"/>
    <x v="0"/>
  </r>
  <r>
    <n v="642"/>
    <d v="2011-01-30T00:00:00"/>
    <n v="1"/>
    <n v="0"/>
    <n v="1"/>
    <x v="0"/>
    <b v="0"/>
    <n v="0"/>
    <n v="1"/>
    <n v="0.16"/>
    <n v="0.18179999999999999"/>
    <n v="0.8"/>
    <n v="0.1045"/>
    <n v="0"/>
    <n v="33"/>
    <n v="33"/>
    <x v="1"/>
  </r>
  <r>
    <n v="643"/>
    <d v="2011-01-30T00:00:00"/>
    <n v="1"/>
    <n v="0"/>
    <n v="1"/>
    <x v="1"/>
    <b v="0"/>
    <n v="0"/>
    <n v="1"/>
    <n v="0.14000000000000001"/>
    <n v="0.21210000000000001"/>
    <n v="0.8"/>
    <n v="0"/>
    <n v="7"/>
    <n v="22"/>
    <n v="29"/>
    <x v="1"/>
  </r>
  <r>
    <n v="644"/>
    <d v="2011-01-30T00:00:00"/>
    <n v="1"/>
    <n v="0"/>
    <n v="1"/>
    <x v="2"/>
    <b v="0"/>
    <n v="0"/>
    <n v="1"/>
    <n v="0.16"/>
    <n v="0.2273"/>
    <n v="0.8"/>
    <n v="0"/>
    <n v="1"/>
    <n v="10"/>
    <n v="11"/>
    <x v="1"/>
  </r>
  <r>
    <n v="645"/>
    <d v="2011-01-30T00:00:00"/>
    <n v="1"/>
    <n v="0"/>
    <n v="1"/>
    <x v="3"/>
    <b v="0"/>
    <n v="0"/>
    <n v="1"/>
    <n v="0.14000000000000001"/>
    <n v="0.21210000000000001"/>
    <n v="0.93"/>
    <n v="0"/>
    <n v="1"/>
    <n v="7"/>
    <n v="8"/>
    <x v="1"/>
  </r>
  <r>
    <n v="646"/>
    <d v="2011-01-30T00:00:00"/>
    <n v="1"/>
    <n v="0"/>
    <n v="1"/>
    <x v="4"/>
    <b v="0"/>
    <n v="0"/>
    <n v="1"/>
    <n v="0.14000000000000001"/>
    <n v="0.21210000000000001"/>
    <n v="0.93"/>
    <n v="0"/>
    <n v="0"/>
    <n v="1"/>
    <n v="1"/>
    <x v="1"/>
  </r>
  <r>
    <n v="647"/>
    <d v="2011-01-30T00:00:00"/>
    <n v="1"/>
    <n v="0"/>
    <n v="1"/>
    <x v="5"/>
    <b v="0"/>
    <n v="0"/>
    <n v="1"/>
    <n v="0.14000000000000001"/>
    <n v="0.21210000000000001"/>
    <n v="0.86"/>
    <n v="0"/>
    <n v="0"/>
    <n v="3"/>
    <n v="3"/>
    <x v="1"/>
  </r>
  <r>
    <n v="648"/>
    <d v="2011-01-30T00:00:00"/>
    <n v="1"/>
    <n v="0"/>
    <n v="1"/>
    <x v="7"/>
    <b v="0"/>
    <n v="0"/>
    <n v="1"/>
    <n v="0.14000000000000001"/>
    <n v="0.21210000000000001"/>
    <n v="0.86"/>
    <n v="0"/>
    <n v="0"/>
    <n v="3"/>
    <n v="3"/>
    <x v="1"/>
  </r>
  <r>
    <n v="649"/>
    <d v="2011-01-30T00:00:00"/>
    <n v="1"/>
    <n v="0"/>
    <n v="1"/>
    <x v="8"/>
    <b v="0"/>
    <n v="0"/>
    <n v="2"/>
    <n v="0.14000000000000001"/>
    <n v="0.21210000000000001"/>
    <n v="0.86"/>
    <n v="0"/>
    <n v="1"/>
    <n v="11"/>
    <n v="12"/>
    <x v="1"/>
  </r>
  <r>
    <n v="650"/>
    <d v="2011-01-30T00:00:00"/>
    <n v="1"/>
    <n v="0"/>
    <n v="1"/>
    <x v="9"/>
    <b v="0"/>
    <n v="0"/>
    <n v="2"/>
    <n v="0.16"/>
    <n v="0.2273"/>
    <n v="0.8"/>
    <n v="0"/>
    <n v="4"/>
    <n v="34"/>
    <n v="38"/>
    <x v="1"/>
  </r>
  <r>
    <n v="651"/>
    <d v="2011-01-30T00:00:00"/>
    <n v="1"/>
    <n v="0"/>
    <n v="1"/>
    <x v="10"/>
    <b v="0"/>
    <n v="0"/>
    <n v="2"/>
    <n v="0.18"/>
    <n v="0.2424"/>
    <n v="0.8"/>
    <n v="0"/>
    <n v="7"/>
    <n v="57"/>
    <n v="64"/>
    <x v="1"/>
  </r>
  <r>
    <n v="652"/>
    <d v="2011-01-30T00:00:00"/>
    <n v="1"/>
    <n v="0"/>
    <n v="1"/>
    <x v="11"/>
    <b v="0"/>
    <n v="0"/>
    <n v="1"/>
    <n v="0.22"/>
    <n v="0.2727"/>
    <n v="0.75"/>
    <n v="0"/>
    <n v="9"/>
    <n v="50"/>
    <n v="59"/>
    <x v="1"/>
  </r>
  <r>
    <n v="653"/>
    <d v="2011-01-30T00:00:00"/>
    <n v="1"/>
    <n v="0"/>
    <n v="1"/>
    <x v="12"/>
    <b v="0"/>
    <n v="0"/>
    <n v="1"/>
    <n v="0.3"/>
    <n v="0.31819999999999998"/>
    <n v="0.52"/>
    <n v="0.1045"/>
    <n v="10"/>
    <n v="87"/>
    <n v="97"/>
    <x v="1"/>
  </r>
  <r>
    <n v="654"/>
    <d v="2011-01-30T00:00:00"/>
    <n v="1"/>
    <n v="0"/>
    <n v="1"/>
    <x v="13"/>
    <b v="0"/>
    <n v="0"/>
    <n v="1"/>
    <n v="0.28000000000000003"/>
    <n v="0.28789999999999999"/>
    <n v="0.61"/>
    <n v="0.1045"/>
    <n v="13"/>
    <n v="71"/>
    <n v="84"/>
    <x v="1"/>
  </r>
  <r>
    <n v="655"/>
    <d v="2011-01-30T00:00:00"/>
    <n v="1"/>
    <n v="0"/>
    <n v="1"/>
    <x v="14"/>
    <b v="0"/>
    <n v="0"/>
    <n v="1"/>
    <n v="0.28000000000000003"/>
    <n v="0.30299999999999999"/>
    <n v="0.61"/>
    <n v="8.9599999999999999E-2"/>
    <n v="18"/>
    <n v="104"/>
    <n v="122"/>
    <x v="1"/>
  </r>
  <r>
    <n v="656"/>
    <d v="2011-01-30T00:00:00"/>
    <n v="1"/>
    <n v="0"/>
    <n v="1"/>
    <x v="15"/>
    <b v="0"/>
    <n v="0"/>
    <n v="1"/>
    <n v="0.3"/>
    <n v="0.33329999999999999"/>
    <n v="0.56000000000000005"/>
    <n v="0"/>
    <n v="14"/>
    <n v="95"/>
    <n v="109"/>
    <x v="1"/>
  </r>
  <r>
    <n v="657"/>
    <d v="2011-01-30T00:00:00"/>
    <n v="1"/>
    <n v="0"/>
    <n v="1"/>
    <x v="16"/>
    <b v="0"/>
    <n v="0"/>
    <n v="1"/>
    <n v="0.3"/>
    <n v="0.33329999999999999"/>
    <n v="0.56000000000000005"/>
    <n v="0"/>
    <n v="19"/>
    <n v="104"/>
    <n v="123"/>
    <x v="1"/>
  </r>
  <r>
    <n v="658"/>
    <d v="2011-01-30T00:00:00"/>
    <n v="1"/>
    <n v="0"/>
    <n v="1"/>
    <x v="17"/>
    <b v="0"/>
    <n v="0"/>
    <n v="1"/>
    <n v="0.3"/>
    <n v="0.28789999999999999"/>
    <n v="0.56000000000000005"/>
    <n v="0.19400000000000001"/>
    <n v="6"/>
    <n v="71"/>
    <n v="77"/>
    <x v="1"/>
  </r>
  <r>
    <n v="659"/>
    <d v="2011-01-30T00:00:00"/>
    <n v="1"/>
    <n v="0"/>
    <n v="1"/>
    <x v="18"/>
    <b v="0"/>
    <n v="0"/>
    <n v="1"/>
    <n v="0.26"/>
    <n v="0.2576"/>
    <n v="0.65"/>
    <n v="0.16420000000000001"/>
    <n v="8"/>
    <n v="57"/>
    <n v="65"/>
    <x v="1"/>
  </r>
  <r>
    <n v="660"/>
    <d v="2011-01-30T00:00:00"/>
    <n v="1"/>
    <n v="0"/>
    <n v="1"/>
    <x v="19"/>
    <b v="0"/>
    <n v="0"/>
    <n v="1"/>
    <n v="0.26"/>
    <n v="0.2576"/>
    <n v="0.65"/>
    <n v="0.19400000000000001"/>
    <n v="9"/>
    <n v="46"/>
    <n v="55"/>
    <x v="1"/>
  </r>
  <r>
    <n v="661"/>
    <d v="2011-01-30T00:00:00"/>
    <n v="1"/>
    <n v="0"/>
    <n v="1"/>
    <x v="20"/>
    <b v="0"/>
    <n v="0"/>
    <n v="2"/>
    <n v="0.26"/>
    <n v="0.2727"/>
    <n v="0.65"/>
    <n v="0.1045"/>
    <n v="3"/>
    <n v="30"/>
    <n v="33"/>
    <x v="1"/>
  </r>
  <r>
    <n v="662"/>
    <d v="2011-01-30T00:00:00"/>
    <n v="1"/>
    <n v="0"/>
    <n v="1"/>
    <x v="21"/>
    <b v="0"/>
    <n v="0"/>
    <n v="2"/>
    <n v="0.24"/>
    <n v="0.2424"/>
    <n v="0.7"/>
    <n v="0.16420000000000001"/>
    <n v="3"/>
    <n v="25"/>
    <n v="28"/>
    <x v="1"/>
  </r>
  <r>
    <n v="663"/>
    <d v="2011-01-30T00:00:00"/>
    <n v="1"/>
    <n v="0"/>
    <n v="1"/>
    <x v="22"/>
    <b v="0"/>
    <n v="0"/>
    <n v="2"/>
    <n v="0.24"/>
    <n v="0.2273"/>
    <n v="0.7"/>
    <n v="0.19400000000000001"/>
    <n v="2"/>
    <n v="19"/>
    <n v="21"/>
    <x v="1"/>
  </r>
  <r>
    <n v="664"/>
    <d v="2011-01-30T00:00:00"/>
    <n v="1"/>
    <n v="0"/>
    <n v="1"/>
    <x v="23"/>
    <b v="0"/>
    <n v="0"/>
    <n v="2"/>
    <n v="0.24"/>
    <n v="0.21210000000000001"/>
    <n v="0.65"/>
    <n v="0.28360000000000002"/>
    <n v="5"/>
    <n v="16"/>
    <n v="21"/>
    <x v="1"/>
  </r>
  <r>
    <n v="665"/>
    <d v="2011-01-31T00:00:00"/>
    <n v="1"/>
    <n v="0"/>
    <n v="1"/>
    <x v="0"/>
    <b v="0"/>
    <n v="1"/>
    <n v="2"/>
    <n v="0.24"/>
    <n v="0.2273"/>
    <n v="0.65"/>
    <n v="0.22389999999999999"/>
    <n v="1"/>
    <n v="6"/>
    <n v="7"/>
    <x v="2"/>
  </r>
  <r>
    <n v="666"/>
    <d v="2011-01-31T00:00:00"/>
    <n v="1"/>
    <n v="0"/>
    <n v="1"/>
    <x v="1"/>
    <b v="0"/>
    <n v="1"/>
    <n v="1"/>
    <n v="0.22"/>
    <n v="0.21210000000000001"/>
    <n v="0.64"/>
    <n v="0.25369999999999998"/>
    <n v="2"/>
    <n v="5"/>
    <n v="7"/>
    <x v="2"/>
  </r>
  <r>
    <n v="667"/>
    <d v="2011-01-31T00:00:00"/>
    <n v="1"/>
    <n v="0"/>
    <n v="1"/>
    <x v="2"/>
    <b v="0"/>
    <n v="1"/>
    <n v="1"/>
    <n v="0.22"/>
    <n v="0.2273"/>
    <n v="0.64"/>
    <n v="0.19400000000000001"/>
    <n v="0"/>
    <n v="1"/>
    <n v="1"/>
    <x v="2"/>
  </r>
  <r>
    <n v="668"/>
    <d v="2011-01-31T00:00:00"/>
    <n v="1"/>
    <n v="0"/>
    <n v="1"/>
    <x v="3"/>
    <b v="0"/>
    <n v="1"/>
    <n v="1"/>
    <n v="0.22"/>
    <n v="0.2273"/>
    <n v="0.64"/>
    <n v="0.19400000000000001"/>
    <n v="0"/>
    <n v="2"/>
    <n v="2"/>
    <x v="2"/>
  </r>
  <r>
    <n v="669"/>
    <d v="2011-01-31T00:00:00"/>
    <n v="1"/>
    <n v="0"/>
    <n v="1"/>
    <x v="4"/>
    <b v="0"/>
    <n v="1"/>
    <n v="1"/>
    <n v="0.2"/>
    <n v="0.19700000000000001"/>
    <n v="0.59"/>
    <n v="0.22389999999999999"/>
    <n v="0"/>
    <n v="2"/>
    <n v="2"/>
    <x v="2"/>
  </r>
  <r>
    <n v="670"/>
    <d v="2011-01-31T00:00:00"/>
    <n v="1"/>
    <n v="0"/>
    <n v="1"/>
    <x v="5"/>
    <b v="0"/>
    <n v="1"/>
    <n v="1"/>
    <n v="0.18"/>
    <n v="0.16669999999999999"/>
    <n v="0.64"/>
    <n v="0.28360000000000002"/>
    <n v="0"/>
    <n v="8"/>
    <n v="8"/>
    <x v="2"/>
  </r>
  <r>
    <n v="671"/>
    <d v="2011-01-31T00:00:00"/>
    <n v="1"/>
    <n v="0"/>
    <n v="1"/>
    <x v="6"/>
    <b v="0"/>
    <n v="1"/>
    <n v="1"/>
    <n v="0.16"/>
    <n v="0.13639999999999999"/>
    <n v="0.69"/>
    <n v="0.32840000000000003"/>
    <n v="0"/>
    <n v="37"/>
    <n v="37"/>
    <x v="2"/>
  </r>
  <r>
    <n v="672"/>
    <d v="2011-01-31T00:00:00"/>
    <n v="1"/>
    <n v="0"/>
    <n v="1"/>
    <x v="7"/>
    <b v="0"/>
    <n v="1"/>
    <n v="2"/>
    <n v="0.16"/>
    <n v="0.13639999999999999"/>
    <n v="0.64"/>
    <n v="0.28360000000000002"/>
    <n v="1"/>
    <n v="71"/>
    <n v="72"/>
    <x v="2"/>
  </r>
  <r>
    <n v="673"/>
    <d v="2011-01-31T00:00:00"/>
    <n v="1"/>
    <n v="0"/>
    <n v="1"/>
    <x v="8"/>
    <b v="0"/>
    <n v="1"/>
    <n v="2"/>
    <n v="0.16"/>
    <n v="0.13639999999999999"/>
    <n v="0.59"/>
    <n v="0.28360000000000002"/>
    <n v="3"/>
    <n v="182"/>
    <n v="185"/>
    <x v="2"/>
  </r>
  <r>
    <n v="674"/>
    <d v="2011-01-31T00:00:00"/>
    <n v="1"/>
    <n v="0"/>
    <n v="1"/>
    <x v="9"/>
    <b v="0"/>
    <n v="1"/>
    <n v="2"/>
    <n v="0.16"/>
    <n v="0.13639999999999999"/>
    <n v="0.59"/>
    <n v="0.29849999999999999"/>
    <n v="0"/>
    <n v="112"/>
    <n v="112"/>
    <x v="2"/>
  </r>
  <r>
    <n v="675"/>
    <d v="2011-01-31T00:00:00"/>
    <n v="1"/>
    <n v="0"/>
    <n v="1"/>
    <x v="10"/>
    <b v="0"/>
    <n v="1"/>
    <n v="2"/>
    <n v="0.16"/>
    <n v="0.1515"/>
    <n v="0.59"/>
    <n v="0.19400000000000001"/>
    <n v="1"/>
    <n v="68"/>
    <n v="69"/>
    <x v="2"/>
  </r>
  <r>
    <n v="676"/>
    <d v="2011-01-31T00:00:00"/>
    <n v="1"/>
    <n v="0"/>
    <n v="1"/>
    <x v="11"/>
    <b v="0"/>
    <n v="1"/>
    <n v="2"/>
    <n v="0.16"/>
    <n v="0.1515"/>
    <n v="0.59"/>
    <n v="0.19400000000000001"/>
    <n v="2"/>
    <n v="46"/>
    <n v="48"/>
    <x v="2"/>
  </r>
  <r>
    <n v="677"/>
    <d v="2011-01-31T00:00:00"/>
    <n v="1"/>
    <n v="0"/>
    <n v="1"/>
    <x v="12"/>
    <b v="0"/>
    <n v="1"/>
    <n v="2"/>
    <n v="0.18"/>
    <n v="0.21210000000000001"/>
    <n v="0.55000000000000004"/>
    <n v="0.1045"/>
    <n v="6"/>
    <n v="62"/>
    <n v="68"/>
    <x v="2"/>
  </r>
  <r>
    <n v="678"/>
    <d v="2011-01-31T00:00:00"/>
    <n v="1"/>
    <n v="0"/>
    <n v="1"/>
    <x v="13"/>
    <b v="0"/>
    <n v="1"/>
    <n v="2"/>
    <n v="0.16"/>
    <n v="0.2273"/>
    <n v="0.59"/>
    <n v="0"/>
    <n v="2"/>
    <n v="52"/>
    <n v="54"/>
    <x v="2"/>
  </r>
  <r>
    <n v="679"/>
    <d v="2011-01-31T00:00:00"/>
    <n v="1"/>
    <n v="0"/>
    <n v="1"/>
    <x v="14"/>
    <b v="0"/>
    <n v="1"/>
    <n v="2"/>
    <n v="0.18"/>
    <n v="0.19700000000000001"/>
    <n v="0.55000000000000004"/>
    <n v="0.1343"/>
    <n v="1"/>
    <n v="85"/>
    <n v="86"/>
    <x v="2"/>
  </r>
  <r>
    <n v="680"/>
    <d v="2011-01-31T00:00:00"/>
    <n v="1"/>
    <n v="0"/>
    <n v="1"/>
    <x v="15"/>
    <b v="0"/>
    <n v="1"/>
    <n v="2"/>
    <n v="0.16"/>
    <n v="0.18179999999999999"/>
    <n v="0.59"/>
    <n v="0.1343"/>
    <n v="3"/>
    <n v="41"/>
    <n v="44"/>
    <x v="2"/>
  </r>
  <r>
    <n v="681"/>
    <d v="2011-01-31T00:00:00"/>
    <n v="1"/>
    <n v="0"/>
    <n v="1"/>
    <x v="16"/>
    <b v="0"/>
    <n v="1"/>
    <n v="2"/>
    <n v="0.16"/>
    <n v="0.18179999999999999"/>
    <n v="0.56000000000000005"/>
    <n v="0.19400000000000001"/>
    <n v="3"/>
    <n v="83"/>
    <n v="86"/>
    <x v="2"/>
  </r>
  <r>
    <n v="682"/>
    <d v="2011-01-31T00:00:00"/>
    <n v="1"/>
    <n v="0"/>
    <n v="1"/>
    <x v="17"/>
    <b v="0"/>
    <n v="1"/>
    <n v="2"/>
    <n v="0.16"/>
    <n v="0.1515"/>
    <n v="0.59"/>
    <n v="0.19400000000000001"/>
    <n v="6"/>
    <n v="155"/>
    <n v="161"/>
    <x v="2"/>
  </r>
  <r>
    <n v="683"/>
    <d v="2011-01-31T00:00:00"/>
    <n v="1"/>
    <n v="0"/>
    <n v="1"/>
    <x v="18"/>
    <b v="0"/>
    <n v="1"/>
    <n v="2"/>
    <n v="0.16"/>
    <n v="0.1515"/>
    <n v="0.55000000000000004"/>
    <n v="0.22389999999999999"/>
    <n v="3"/>
    <n v="153"/>
    <n v="156"/>
    <x v="2"/>
  </r>
  <r>
    <n v="684"/>
    <d v="2011-01-31T00:00:00"/>
    <n v="1"/>
    <n v="0"/>
    <n v="1"/>
    <x v="19"/>
    <b v="0"/>
    <n v="1"/>
    <n v="1"/>
    <n v="0.3"/>
    <n v="0.31819999999999998"/>
    <n v="0.61"/>
    <n v="0.1045"/>
    <n v="3"/>
    <n v="108"/>
    <n v="111"/>
    <x v="2"/>
  </r>
  <r>
    <n v="685"/>
    <d v="2011-01-31T00:00:00"/>
    <n v="1"/>
    <n v="0"/>
    <n v="1"/>
    <x v="20"/>
    <b v="0"/>
    <n v="1"/>
    <n v="3"/>
    <n v="0.16"/>
    <n v="0.16669999999999999"/>
    <n v="0.59"/>
    <n v="0.16420000000000001"/>
    <n v="0"/>
    <n v="78"/>
    <n v="78"/>
    <x v="2"/>
  </r>
  <r>
    <n v="686"/>
    <d v="2011-01-31T00:00:00"/>
    <n v="1"/>
    <n v="0"/>
    <n v="1"/>
    <x v="21"/>
    <b v="0"/>
    <n v="1"/>
    <n v="3"/>
    <n v="0.16"/>
    <n v="0.19700000000000001"/>
    <n v="0.59"/>
    <n v="8.9599999999999999E-2"/>
    <n v="3"/>
    <n v="53"/>
    <n v="56"/>
    <x v="2"/>
  </r>
  <r>
    <n v="687"/>
    <d v="2011-01-31T00:00:00"/>
    <n v="1"/>
    <n v="0"/>
    <n v="1"/>
    <x v="22"/>
    <b v="0"/>
    <n v="1"/>
    <n v="2"/>
    <n v="0.16"/>
    <n v="0.18179999999999999"/>
    <n v="0.59"/>
    <n v="0.1045"/>
    <n v="0"/>
    <n v="34"/>
    <n v="34"/>
    <x v="2"/>
  </r>
  <r>
    <n v="688"/>
    <d v="2011-01-31T00:00:00"/>
    <n v="1"/>
    <n v="0"/>
    <n v="1"/>
    <x v="23"/>
    <b v="0"/>
    <n v="1"/>
    <n v="2"/>
    <n v="0.16"/>
    <n v="0.19700000000000001"/>
    <n v="0.64"/>
    <n v="8.9599999999999999E-2"/>
    <n v="2"/>
    <n v="15"/>
    <n v="17"/>
    <x v="2"/>
  </r>
  <r>
    <n v="689"/>
    <d v="2011-02-01T00:00:00"/>
    <n v="1"/>
    <n v="0"/>
    <n v="2"/>
    <x v="0"/>
    <b v="0"/>
    <n v="2"/>
    <n v="2"/>
    <n v="0.16"/>
    <n v="0.18179999999999999"/>
    <n v="0.64"/>
    <n v="0.1045"/>
    <n v="2"/>
    <n v="6"/>
    <n v="8"/>
    <x v="3"/>
  </r>
  <r>
    <n v="690"/>
    <d v="2011-02-01T00:00:00"/>
    <n v="1"/>
    <n v="0"/>
    <n v="2"/>
    <x v="1"/>
    <b v="0"/>
    <n v="2"/>
    <n v="2"/>
    <n v="0.16"/>
    <n v="0.18179999999999999"/>
    <n v="0.69"/>
    <n v="0.1045"/>
    <n v="0"/>
    <n v="3"/>
    <n v="3"/>
    <x v="3"/>
  </r>
  <r>
    <n v="691"/>
    <d v="2011-02-01T00:00:00"/>
    <n v="1"/>
    <n v="0"/>
    <n v="2"/>
    <x v="2"/>
    <b v="0"/>
    <n v="2"/>
    <n v="2"/>
    <n v="0.16"/>
    <n v="0.2273"/>
    <n v="0.69"/>
    <n v="0"/>
    <n v="0"/>
    <n v="2"/>
    <n v="2"/>
    <x v="3"/>
  </r>
  <r>
    <n v="692"/>
    <d v="2011-02-01T00:00:00"/>
    <n v="1"/>
    <n v="0"/>
    <n v="2"/>
    <x v="3"/>
    <b v="0"/>
    <n v="2"/>
    <n v="2"/>
    <n v="0.16"/>
    <n v="0.2273"/>
    <n v="0.69"/>
    <n v="0"/>
    <n v="0"/>
    <n v="2"/>
    <n v="2"/>
    <x v="3"/>
  </r>
  <r>
    <n v="693"/>
    <d v="2011-02-01T00:00:00"/>
    <n v="1"/>
    <n v="0"/>
    <n v="2"/>
    <x v="5"/>
    <b v="0"/>
    <n v="2"/>
    <n v="3"/>
    <n v="0.14000000000000001"/>
    <n v="0.21210000000000001"/>
    <n v="0.93"/>
    <n v="0"/>
    <n v="0"/>
    <n v="3"/>
    <n v="3"/>
    <x v="3"/>
  </r>
  <r>
    <n v="694"/>
    <d v="2011-02-01T00:00:00"/>
    <n v="1"/>
    <n v="0"/>
    <n v="2"/>
    <x v="6"/>
    <b v="0"/>
    <n v="2"/>
    <n v="3"/>
    <n v="0.14000000000000001"/>
    <n v="0.21210000000000001"/>
    <n v="0.93"/>
    <n v="0"/>
    <n v="0"/>
    <n v="22"/>
    <n v="22"/>
    <x v="3"/>
  </r>
  <r>
    <n v="695"/>
    <d v="2011-02-01T00:00:00"/>
    <n v="1"/>
    <n v="0"/>
    <n v="2"/>
    <x v="7"/>
    <b v="0"/>
    <n v="2"/>
    <n v="3"/>
    <n v="0.16"/>
    <n v="0.2273"/>
    <n v="0.93"/>
    <n v="0"/>
    <n v="0"/>
    <n v="52"/>
    <n v="52"/>
    <x v="3"/>
  </r>
  <r>
    <n v="696"/>
    <d v="2011-02-01T00:00:00"/>
    <n v="1"/>
    <n v="0"/>
    <n v="2"/>
    <x v="8"/>
    <b v="0"/>
    <n v="2"/>
    <n v="3"/>
    <n v="0.16"/>
    <n v="0.2273"/>
    <n v="0.93"/>
    <n v="0"/>
    <n v="3"/>
    <n v="132"/>
    <n v="135"/>
    <x v="3"/>
  </r>
  <r>
    <n v="697"/>
    <d v="2011-02-01T00:00:00"/>
    <n v="1"/>
    <n v="0"/>
    <n v="2"/>
    <x v="9"/>
    <b v="0"/>
    <n v="2"/>
    <n v="2"/>
    <n v="0.16"/>
    <n v="0.2273"/>
    <n v="0.93"/>
    <n v="0"/>
    <n v="2"/>
    <n v="114"/>
    <n v="116"/>
    <x v="3"/>
  </r>
  <r>
    <n v="698"/>
    <d v="2011-02-01T00:00:00"/>
    <n v="1"/>
    <n v="0"/>
    <n v="2"/>
    <x v="10"/>
    <b v="0"/>
    <n v="2"/>
    <n v="2"/>
    <n v="0.16"/>
    <n v="0.2273"/>
    <n v="0.93"/>
    <n v="0"/>
    <n v="0"/>
    <n v="47"/>
    <n v="47"/>
    <x v="3"/>
  </r>
  <r>
    <n v="699"/>
    <d v="2011-02-01T00:00:00"/>
    <n v="1"/>
    <n v="0"/>
    <n v="2"/>
    <x v="11"/>
    <b v="0"/>
    <n v="2"/>
    <n v="2"/>
    <n v="0.18"/>
    <n v="0.2424"/>
    <n v="0.86"/>
    <n v="0"/>
    <n v="2"/>
    <n v="49"/>
    <n v="51"/>
    <x v="3"/>
  </r>
  <r>
    <n v="700"/>
    <d v="2011-02-01T00:00:00"/>
    <n v="1"/>
    <n v="0"/>
    <n v="2"/>
    <x v="12"/>
    <b v="0"/>
    <n v="2"/>
    <n v="2"/>
    <n v="0.2"/>
    <n v="0.2576"/>
    <n v="0.86"/>
    <n v="0"/>
    <n v="2"/>
    <n v="53"/>
    <n v="55"/>
    <x v="3"/>
  </r>
  <r>
    <n v="701"/>
    <d v="2011-02-01T00:00:00"/>
    <n v="1"/>
    <n v="0"/>
    <n v="2"/>
    <x v="13"/>
    <b v="0"/>
    <n v="2"/>
    <n v="2"/>
    <n v="0.2"/>
    <n v="0.2576"/>
    <n v="0.86"/>
    <n v="0"/>
    <n v="3"/>
    <n v="49"/>
    <n v="52"/>
    <x v="3"/>
  </r>
  <r>
    <n v="702"/>
    <d v="2011-02-01T00:00:00"/>
    <n v="1"/>
    <n v="0"/>
    <n v="2"/>
    <x v="14"/>
    <b v="0"/>
    <n v="2"/>
    <n v="2"/>
    <n v="0.22"/>
    <n v="0.2576"/>
    <n v="0.8"/>
    <n v="8.9599999999999999E-2"/>
    <n v="5"/>
    <n v="49"/>
    <n v="54"/>
    <x v="3"/>
  </r>
  <r>
    <n v="703"/>
    <d v="2011-02-01T00:00:00"/>
    <n v="1"/>
    <n v="0"/>
    <n v="2"/>
    <x v="15"/>
    <b v="0"/>
    <n v="2"/>
    <n v="2"/>
    <n v="0.24"/>
    <n v="0.28789999999999999"/>
    <n v="0.75"/>
    <n v="0"/>
    <n v="7"/>
    <n v="45"/>
    <n v="52"/>
    <x v="3"/>
  </r>
  <r>
    <n v="704"/>
    <d v="2011-02-01T00:00:00"/>
    <n v="1"/>
    <n v="0"/>
    <n v="2"/>
    <x v="16"/>
    <b v="0"/>
    <n v="2"/>
    <n v="2"/>
    <n v="0.24"/>
    <n v="0.2424"/>
    <n v="0.75"/>
    <n v="0.1343"/>
    <n v="3"/>
    <n v="61"/>
    <n v="64"/>
    <x v="3"/>
  </r>
  <r>
    <n v="705"/>
    <d v="2011-02-01T00:00:00"/>
    <n v="1"/>
    <n v="0"/>
    <n v="2"/>
    <x v="17"/>
    <b v="0"/>
    <n v="2"/>
    <n v="2"/>
    <n v="0.24"/>
    <n v="0.28789999999999999"/>
    <n v="0.75"/>
    <n v="0"/>
    <n v="4"/>
    <n v="172"/>
    <n v="176"/>
    <x v="3"/>
  </r>
  <r>
    <n v="706"/>
    <d v="2011-02-01T00:00:00"/>
    <n v="1"/>
    <n v="0"/>
    <n v="2"/>
    <x v="18"/>
    <b v="0"/>
    <n v="2"/>
    <n v="2"/>
    <n v="0.24"/>
    <n v="0.2576"/>
    <n v="0.81"/>
    <n v="0.1045"/>
    <n v="3"/>
    <n v="165"/>
    <n v="168"/>
    <x v="3"/>
  </r>
  <r>
    <n v="707"/>
    <d v="2011-02-01T00:00:00"/>
    <n v="1"/>
    <n v="0"/>
    <n v="2"/>
    <x v="19"/>
    <b v="0"/>
    <n v="2"/>
    <n v="2"/>
    <n v="0.24"/>
    <n v="0.2424"/>
    <n v="0.81"/>
    <n v="0.1343"/>
    <n v="3"/>
    <n v="105"/>
    <n v="108"/>
    <x v="3"/>
  </r>
  <r>
    <n v="708"/>
    <d v="2011-02-01T00:00:00"/>
    <n v="1"/>
    <n v="0"/>
    <n v="2"/>
    <x v="20"/>
    <b v="0"/>
    <n v="2"/>
    <n v="2"/>
    <n v="0.22"/>
    <n v="0.2273"/>
    <n v="0.87"/>
    <n v="0.1343"/>
    <n v="5"/>
    <n v="69"/>
    <n v="74"/>
    <x v="3"/>
  </r>
  <r>
    <n v="709"/>
    <d v="2011-02-01T00:00:00"/>
    <n v="1"/>
    <n v="0"/>
    <n v="2"/>
    <x v="21"/>
    <b v="0"/>
    <n v="2"/>
    <n v="2"/>
    <n v="0.22"/>
    <n v="0.2273"/>
    <n v="0.87"/>
    <n v="0.1343"/>
    <n v="0"/>
    <n v="64"/>
    <n v="64"/>
    <x v="3"/>
  </r>
  <r>
    <n v="710"/>
    <d v="2011-02-01T00:00:00"/>
    <n v="1"/>
    <n v="0"/>
    <n v="2"/>
    <x v="22"/>
    <b v="0"/>
    <n v="2"/>
    <n v="2"/>
    <n v="0.22"/>
    <n v="0.2576"/>
    <n v="0.87"/>
    <n v="8.9599999999999999E-2"/>
    <n v="2"/>
    <n v="34"/>
    <n v="36"/>
    <x v="3"/>
  </r>
  <r>
    <n v="711"/>
    <d v="2011-02-01T00:00:00"/>
    <n v="1"/>
    <n v="0"/>
    <n v="2"/>
    <x v="23"/>
    <b v="0"/>
    <n v="2"/>
    <n v="3"/>
    <n v="0.2"/>
    <n v="0.19700000000000001"/>
    <n v="0.93"/>
    <n v="0.19400000000000001"/>
    <n v="1"/>
    <n v="15"/>
    <n v="16"/>
    <x v="3"/>
  </r>
  <r>
    <n v="712"/>
    <d v="2011-02-02T00:00:00"/>
    <n v="1"/>
    <n v="0"/>
    <n v="2"/>
    <x v="0"/>
    <b v="0"/>
    <n v="3"/>
    <n v="3"/>
    <n v="0.22"/>
    <n v="0.2424"/>
    <n v="0.93"/>
    <n v="0.1045"/>
    <n v="0"/>
    <n v="2"/>
    <n v="2"/>
    <x v="4"/>
  </r>
  <r>
    <n v="713"/>
    <d v="2011-02-02T00:00:00"/>
    <n v="1"/>
    <n v="0"/>
    <n v="2"/>
    <x v="1"/>
    <b v="0"/>
    <n v="3"/>
    <n v="3"/>
    <n v="0.22"/>
    <n v="0.2273"/>
    <n v="0.93"/>
    <n v="0.19400000000000001"/>
    <n v="0"/>
    <n v="3"/>
    <n v="3"/>
    <x v="4"/>
  </r>
  <r>
    <n v="714"/>
    <d v="2011-02-02T00:00:00"/>
    <n v="1"/>
    <n v="0"/>
    <n v="2"/>
    <x v="2"/>
    <b v="0"/>
    <n v="3"/>
    <n v="3"/>
    <n v="0.22"/>
    <n v="0.2273"/>
    <n v="0.93"/>
    <n v="0.1343"/>
    <n v="4"/>
    <n v="0"/>
    <n v="4"/>
    <x v="4"/>
  </r>
  <r>
    <n v="715"/>
    <d v="2011-02-02T00:00:00"/>
    <n v="1"/>
    <n v="0"/>
    <n v="2"/>
    <x v="3"/>
    <b v="0"/>
    <n v="3"/>
    <n v="3"/>
    <n v="0.22"/>
    <n v="0.2273"/>
    <n v="0.93"/>
    <n v="0.1343"/>
    <n v="0"/>
    <n v="1"/>
    <n v="1"/>
    <x v="4"/>
  </r>
  <r>
    <n v="716"/>
    <d v="2011-02-02T00:00:00"/>
    <n v="1"/>
    <n v="0"/>
    <n v="2"/>
    <x v="4"/>
    <b v="0"/>
    <n v="3"/>
    <n v="3"/>
    <n v="0.22"/>
    <n v="0.21210000000000001"/>
    <n v="0.93"/>
    <n v="0.28360000000000002"/>
    <n v="0"/>
    <n v="1"/>
    <n v="1"/>
    <x v="4"/>
  </r>
  <r>
    <n v="717"/>
    <d v="2011-02-02T00:00:00"/>
    <n v="1"/>
    <n v="0"/>
    <n v="2"/>
    <x v="5"/>
    <b v="0"/>
    <n v="3"/>
    <n v="3"/>
    <n v="0.22"/>
    <n v="0.2424"/>
    <n v="0.93"/>
    <n v="0.1045"/>
    <n v="0"/>
    <n v="3"/>
    <n v="3"/>
    <x v="4"/>
  </r>
  <r>
    <n v="718"/>
    <d v="2011-02-02T00:00:00"/>
    <n v="1"/>
    <n v="0"/>
    <n v="2"/>
    <x v="6"/>
    <b v="0"/>
    <n v="3"/>
    <n v="3"/>
    <n v="0.22"/>
    <n v="0.2424"/>
    <n v="0.93"/>
    <n v="0.1045"/>
    <n v="1"/>
    <n v="17"/>
    <n v="18"/>
    <x v="4"/>
  </r>
  <r>
    <n v="719"/>
    <d v="2011-02-02T00:00:00"/>
    <n v="1"/>
    <n v="0"/>
    <n v="2"/>
    <x v="7"/>
    <b v="0"/>
    <n v="3"/>
    <n v="3"/>
    <n v="0.22"/>
    <n v="0.21210000000000001"/>
    <n v="0.93"/>
    <n v="0.22389999999999999"/>
    <n v="1"/>
    <n v="48"/>
    <n v="49"/>
    <x v="4"/>
  </r>
  <r>
    <n v="720"/>
    <d v="2011-02-02T00:00:00"/>
    <n v="1"/>
    <n v="0"/>
    <n v="2"/>
    <x v="8"/>
    <b v="0"/>
    <n v="3"/>
    <n v="3"/>
    <n v="0.22"/>
    <n v="0.21210000000000001"/>
    <n v="0.93"/>
    <n v="0.22389999999999999"/>
    <n v="1"/>
    <n v="154"/>
    <n v="155"/>
    <x v="4"/>
  </r>
  <r>
    <n v="721"/>
    <d v="2011-02-02T00:00:00"/>
    <n v="1"/>
    <n v="0"/>
    <n v="2"/>
    <x v="9"/>
    <b v="0"/>
    <n v="3"/>
    <n v="2"/>
    <n v="0.24"/>
    <n v="0.2576"/>
    <n v="0.93"/>
    <n v="8.9599999999999999E-2"/>
    <n v="4"/>
    <n v="119"/>
    <n v="123"/>
    <x v="4"/>
  </r>
  <r>
    <n v="722"/>
    <d v="2011-02-02T00:00:00"/>
    <n v="1"/>
    <n v="0"/>
    <n v="2"/>
    <x v="10"/>
    <b v="0"/>
    <n v="3"/>
    <n v="2"/>
    <n v="0.22"/>
    <n v="0.2727"/>
    <n v="1"/>
    <n v="0"/>
    <n v="2"/>
    <n v="59"/>
    <n v="61"/>
    <x v="4"/>
  </r>
  <r>
    <n v="723"/>
    <d v="2011-02-02T00:00:00"/>
    <n v="1"/>
    <n v="0"/>
    <n v="2"/>
    <x v="11"/>
    <b v="0"/>
    <n v="3"/>
    <n v="2"/>
    <n v="0.24"/>
    <n v="0.2273"/>
    <n v="0.93"/>
    <n v="0.19400000000000001"/>
    <n v="5"/>
    <n v="47"/>
    <n v="52"/>
    <x v="4"/>
  </r>
  <r>
    <n v="724"/>
    <d v="2011-02-02T00:00:00"/>
    <n v="1"/>
    <n v="0"/>
    <n v="2"/>
    <x v="12"/>
    <b v="0"/>
    <n v="3"/>
    <n v="2"/>
    <n v="0.24"/>
    <n v="0.2273"/>
    <n v="0.93"/>
    <n v="0.22389999999999999"/>
    <n v="3"/>
    <n v="61"/>
    <n v="64"/>
    <x v="4"/>
  </r>
  <r>
    <n v="725"/>
    <d v="2011-02-02T00:00:00"/>
    <n v="1"/>
    <n v="0"/>
    <n v="2"/>
    <x v="13"/>
    <b v="0"/>
    <n v="3"/>
    <n v="1"/>
    <n v="0.34"/>
    <n v="0.33329999999999999"/>
    <n v="0.93"/>
    <n v="0.16420000000000001"/>
    <n v="1"/>
    <n v="74"/>
    <n v="75"/>
    <x v="4"/>
  </r>
  <r>
    <n v="726"/>
    <d v="2011-02-02T00:00:00"/>
    <n v="1"/>
    <n v="0"/>
    <n v="2"/>
    <x v="14"/>
    <b v="0"/>
    <n v="3"/>
    <n v="1"/>
    <n v="0.38"/>
    <n v="0.39389999999999997"/>
    <n v="0.82"/>
    <n v="0.3881"/>
    <n v="2"/>
    <n v="61"/>
    <n v="63"/>
    <x v="4"/>
  </r>
  <r>
    <n v="727"/>
    <d v="2011-02-02T00:00:00"/>
    <n v="1"/>
    <n v="0"/>
    <n v="2"/>
    <x v="15"/>
    <b v="0"/>
    <n v="3"/>
    <n v="1"/>
    <n v="0.38"/>
    <n v="0.39389999999999997"/>
    <n v="0.76"/>
    <n v="0.32840000000000003"/>
    <n v="10"/>
    <n v="66"/>
    <n v="76"/>
    <x v="4"/>
  </r>
  <r>
    <n v="728"/>
    <d v="2011-02-02T00:00:00"/>
    <n v="1"/>
    <n v="0"/>
    <n v="2"/>
    <x v="16"/>
    <b v="0"/>
    <n v="3"/>
    <n v="1"/>
    <n v="0.36"/>
    <n v="0.33329999999999999"/>
    <n v="0.71"/>
    <n v="0.29849999999999999"/>
    <n v="8"/>
    <n v="95"/>
    <n v="103"/>
    <x v="4"/>
  </r>
  <r>
    <n v="729"/>
    <d v="2011-02-02T00:00:00"/>
    <n v="1"/>
    <n v="0"/>
    <n v="2"/>
    <x v="17"/>
    <b v="0"/>
    <n v="3"/>
    <n v="1"/>
    <n v="0.36"/>
    <n v="0.31819999999999998"/>
    <n v="0.53"/>
    <n v="0.52239999999999998"/>
    <n v="7"/>
    <n v="183"/>
    <n v="190"/>
    <x v="4"/>
  </r>
  <r>
    <n v="730"/>
    <d v="2011-02-02T00:00:00"/>
    <n v="1"/>
    <n v="0"/>
    <n v="2"/>
    <x v="18"/>
    <b v="0"/>
    <n v="3"/>
    <n v="1"/>
    <n v="0.34"/>
    <n v="0.28789999999999999"/>
    <n v="0.42"/>
    <n v="0.55220000000000002"/>
    <n v="7"/>
    <n v="175"/>
    <n v="182"/>
    <x v="4"/>
  </r>
  <r>
    <n v="731"/>
    <d v="2011-02-02T00:00:00"/>
    <n v="1"/>
    <n v="0"/>
    <n v="2"/>
    <x v="19"/>
    <b v="0"/>
    <n v="3"/>
    <n v="1"/>
    <n v="0.28000000000000003"/>
    <n v="0.2424"/>
    <n v="0.45"/>
    <n v="0.49249999999999999"/>
    <n v="3"/>
    <n v="88"/>
    <n v="91"/>
    <x v="4"/>
  </r>
  <r>
    <n v="732"/>
    <d v="2011-02-02T00:00:00"/>
    <n v="1"/>
    <n v="0"/>
    <n v="2"/>
    <x v="20"/>
    <b v="0"/>
    <n v="3"/>
    <n v="1"/>
    <n v="0.24"/>
    <n v="0.19700000000000001"/>
    <n v="0.48"/>
    <n v="0.55220000000000002"/>
    <n v="4"/>
    <n v="71"/>
    <n v="75"/>
    <x v="4"/>
  </r>
  <r>
    <n v="733"/>
    <d v="2011-02-02T00:00:00"/>
    <n v="1"/>
    <n v="0"/>
    <n v="2"/>
    <x v="21"/>
    <b v="0"/>
    <n v="3"/>
    <n v="1"/>
    <n v="0.22"/>
    <n v="0.19700000000000001"/>
    <n v="0.47"/>
    <n v="0.32840000000000003"/>
    <n v="1"/>
    <n v="62"/>
    <n v="63"/>
    <x v="4"/>
  </r>
  <r>
    <n v="734"/>
    <d v="2011-02-02T00:00:00"/>
    <n v="1"/>
    <n v="0"/>
    <n v="2"/>
    <x v="22"/>
    <b v="0"/>
    <n v="3"/>
    <n v="1"/>
    <n v="0.22"/>
    <n v="0.21210000000000001"/>
    <n v="0.44"/>
    <n v="0.25369999999999998"/>
    <n v="5"/>
    <n v="35"/>
    <n v="40"/>
    <x v="4"/>
  </r>
  <r>
    <n v="735"/>
    <d v="2011-02-02T00:00:00"/>
    <n v="1"/>
    <n v="0"/>
    <n v="2"/>
    <x v="23"/>
    <b v="0"/>
    <n v="3"/>
    <n v="1"/>
    <n v="0.2"/>
    <n v="0.16669999999999999"/>
    <n v="0.44"/>
    <n v="0.44779999999999998"/>
    <n v="3"/>
    <n v="29"/>
    <n v="32"/>
    <x v="4"/>
  </r>
  <r>
    <n v="736"/>
    <d v="2011-02-03T00:00:00"/>
    <n v="1"/>
    <n v="0"/>
    <n v="2"/>
    <x v="0"/>
    <b v="0"/>
    <n v="4"/>
    <n v="1"/>
    <n v="0.2"/>
    <n v="0.16669999999999999"/>
    <n v="0.4"/>
    <n v="0.44779999999999998"/>
    <n v="1"/>
    <n v="11"/>
    <n v="12"/>
    <x v="5"/>
  </r>
  <r>
    <n v="737"/>
    <d v="2011-02-03T00:00:00"/>
    <n v="1"/>
    <n v="0"/>
    <n v="2"/>
    <x v="1"/>
    <b v="0"/>
    <n v="4"/>
    <n v="1"/>
    <n v="0.2"/>
    <n v="0.1515"/>
    <n v="0.44"/>
    <n v="0.52239999999999998"/>
    <n v="0"/>
    <n v="5"/>
    <n v="5"/>
    <x v="5"/>
  </r>
  <r>
    <n v="738"/>
    <d v="2011-02-03T00:00:00"/>
    <n v="1"/>
    <n v="0"/>
    <n v="2"/>
    <x v="2"/>
    <b v="0"/>
    <n v="4"/>
    <n v="1"/>
    <n v="0.18"/>
    <n v="0.16669999999999999"/>
    <n v="0.43"/>
    <n v="0.25369999999999998"/>
    <n v="0"/>
    <n v="2"/>
    <n v="2"/>
    <x v="5"/>
  </r>
  <r>
    <n v="739"/>
    <d v="2011-02-03T00:00:00"/>
    <n v="1"/>
    <n v="0"/>
    <n v="2"/>
    <x v="3"/>
    <b v="0"/>
    <n v="4"/>
    <n v="1"/>
    <n v="0.18"/>
    <n v="0.16669999999999999"/>
    <n v="0.43"/>
    <n v="0.25369999999999998"/>
    <n v="0"/>
    <n v="1"/>
    <n v="1"/>
    <x v="5"/>
  </r>
  <r>
    <n v="740"/>
    <d v="2011-02-03T00:00:00"/>
    <n v="1"/>
    <n v="0"/>
    <n v="2"/>
    <x v="5"/>
    <b v="0"/>
    <n v="4"/>
    <n v="1"/>
    <n v="0.16"/>
    <n v="0.13639999999999999"/>
    <n v="0.5"/>
    <n v="0.29849999999999999"/>
    <n v="0"/>
    <n v="2"/>
    <n v="2"/>
    <x v="5"/>
  </r>
  <r>
    <n v="741"/>
    <d v="2011-02-03T00:00:00"/>
    <n v="1"/>
    <n v="0"/>
    <n v="2"/>
    <x v="6"/>
    <b v="0"/>
    <n v="4"/>
    <n v="1"/>
    <n v="0.16"/>
    <n v="0.13639999999999999"/>
    <n v="0.43"/>
    <n v="0.35820000000000002"/>
    <n v="0"/>
    <n v="39"/>
    <n v="39"/>
    <x v="5"/>
  </r>
  <r>
    <n v="742"/>
    <d v="2011-02-03T00:00:00"/>
    <n v="1"/>
    <n v="0"/>
    <n v="2"/>
    <x v="7"/>
    <b v="0"/>
    <n v="4"/>
    <n v="1"/>
    <n v="0.14000000000000001"/>
    <n v="0.1212"/>
    <n v="0.5"/>
    <n v="0.32840000000000003"/>
    <n v="1"/>
    <n v="86"/>
    <n v="87"/>
    <x v="5"/>
  </r>
  <r>
    <n v="743"/>
    <d v="2011-02-03T00:00:00"/>
    <n v="1"/>
    <n v="0"/>
    <n v="2"/>
    <x v="8"/>
    <b v="0"/>
    <n v="4"/>
    <n v="1"/>
    <n v="0.14000000000000001"/>
    <n v="0.1212"/>
    <n v="0.5"/>
    <n v="0.35820000000000002"/>
    <n v="4"/>
    <n v="184"/>
    <n v="188"/>
    <x v="5"/>
  </r>
  <r>
    <n v="744"/>
    <d v="2011-02-03T00:00:00"/>
    <n v="1"/>
    <n v="0"/>
    <n v="2"/>
    <x v="9"/>
    <b v="0"/>
    <n v="4"/>
    <n v="1"/>
    <n v="0.16"/>
    <n v="0.13639999999999999"/>
    <n v="0.47"/>
    <n v="0.29849999999999999"/>
    <n v="6"/>
    <n v="127"/>
    <n v="133"/>
    <x v="5"/>
  </r>
  <r>
    <n v="745"/>
    <d v="2011-02-03T00:00:00"/>
    <n v="1"/>
    <n v="0"/>
    <n v="2"/>
    <x v="10"/>
    <b v="0"/>
    <n v="4"/>
    <n v="1"/>
    <n v="0.18"/>
    <n v="0.1515"/>
    <n v="0.43"/>
    <n v="0.32840000000000003"/>
    <n v="2"/>
    <n v="50"/>
    <n v="52"/>
    <x v="5"/>
  </r>
  <r>
    <n v="746"/>
    <d v="2011-02-03T00:00:00"/>
    <n v="1"/>
    <n v="0"/>
    <n v="2"/>
    <x v="11"/>
    <b v="0"/>
    <n v="4"/>
    <n v="1"/>
    <n v="0.18"/>
    <n v="0.13639999999999999"/>
    <n v="0.43"/>
    <n v="0.44779999999999998"/>
    <n v="9"/>
    <n v="55"/>
    <n v="64"/>
    <x v="5"/>
  </r>
  <r>
    <n v="747"/>
    <d v="2011-02-03T00:00:00"/>
    <n v="1"/>
    <n v="0"/>
    <n v="2"/>
    <x v="12"/>
    <b v="0"/>
    <n v="4"/>
    <n v="1"/>
    <n v="0.2"/>
    <n v="0.18179999999999999"/>
    <n v="0.4"/>
    <n v="0.35820000000000002"/>
    <n v="2"/>
    <n v="67"/>
    <n v="69"/>
    <x v="5"/>
  </r>
  <r>
    <n v="748"/>
    <d v="2011-02-03T00:00:00"/>
    <n v="1"/>
    <n v="0"/>
    <n v="2"/>
    <x v="13"/>
    <b v="0"/>
    <n v="4"/>
    <n v="1"/>
    <n v="0.2"/>
    <n v="0.16669999999999999"/>
    <n v="0.4"/>
    <n v="0.41789999999999999"/>
    <n v="4"/>
    <n v="47"/>
    <n v="51"/>
    <x v="5"/>
  </r>
  <r>
    <n v="749"/>
    <d v="2011-02-03T00:00:00"/>
    <n v="1"/>
    <n v="0"/>
    <n v="2"/>
    <x v="14"/>
    <b v="0"/>
    <n v="4"/>
    <n v="1"/>
    <n v="0.22"/>
    <n v="0.19700000000000001"/>
    <n v="0.37"/>
    <n v="0.3881"/>
    <n v="4"/>
    <n v="43"/>
    <n v="47"/>
    <x v="5"/>
  </r>
  <r>
    <n v="750"/>
    <d v="2011-02-03T00:00:00"/>
    <n v="1"/>
    <n v="0"/>
    <n v="2"/>
    <x v="15"/>
    <b v="0"/>
    <n v="4"/>
    <n v="1"/>
    <n v="0.22"/>
    <n v="0.19700000000000001"/>
    <n v="0.37"/>
    <n v="0.32840000000000003"/>
    <n v="4"/>
    <n v="56"/>
    <n v="60"/>
    <x v="5"/>
  </r>
  <r>
    <n v="751"/>
    <d v="2011-02-03T00:00:00"/>
    <n v="1"/>
    <n v="0"/>
    <n v="2"/>
    <x v="16"/>
    <b v="0"/>
    <n v="4"/>
    <n v="1"/>
    <n v="0.22"/>
    <n v="0.21210000000000001"/>
    <n v="0.37"/>
    <n v="0.25369999999999998"/>
    <n v="5"/>
    <n v="73"/>
    <n v="78"/>
    <x v="5"/>
  </r>
  <r>
    <n v="752"/>
    <d v="2011-02-03T00:00:00"/>
    <n v="1"/>
    <n v="0"/>
    <n v="2"/>
    <x v="17"/>
    <b v="0"/>
    <n v="4"/>
    <n v="1"/>
    <n v="0.2"/>
    <n v="0.19700000000000001"/>
    <n v="0.4"/>
    <n v="0.19400000000000001"/>
    <n v="5"/>
    <n v="170"/>
    <n v="175"/>
    <x v="5"/>
  </r>
  <r>
    <n v="753"/>
    <d v="2011-02-03T00:00:00"/>
    <n v="1"/>
    <n v="0"/>
    <n v="2"/>
    <x v="18"/>
    <b v="0"/>
    <n v="4"/>
    <n v="1"/>
    <n v="0.2"/>
    <n v="0.21210000000000001"/>
    <n v="0.4"/>
    <n v="0.16420000000000001"/>
    <n v="2"/>
    <n v="145"/>
    <n v="147"/>
    <x v="5"/>
  </r>
  <r>
    <n v="754"/>
    <d v="2011-02-03T00:00:00"/>
    <n v="1"/>
    <n v="0"/>
    <n v="2"/>
    <x v="19"/>
    <b v="0"/>
    <n v="4"/>
    <n v="1"/>
    <n v="0.2"/>
    <n v="0.2576"/>
    <n v="0.4"/>
    <n v="0"/>
    <n v="4"/>
    <n v="92"/>
    <n v="96"/>
    <x v="5"/>
  </r>
  <r>
    <n v="755"/>
    <d v="2011-02-03T00:00:00"/>
    <n v="1"/>
    <n v="0"/>
    <n v="2"/>
    <x v="20"/>
    <b v="0"/>
    <n v="4"/>
    <n v="1"/>
    <n v="0.2"/>
    <n v="0.2273"/>
    <n v="0.47"/>
    <n v="8.9599999999999999E-2"/>
    <n v="1"/>
    <n v="108"/>
    <n v="109"/>
    <x v="5"/>
  </r>
  <r>
    <n v="756"/>
    <d v="2011-02-03T00:00:00"/>
    <n v="1"/>
    <n v="0"/>
    <n v="2"/>
    <x v="21"/>
    <b v="0"/>
    <n v="4"/>
    <n v="1"/>
    <n v="0.18"/>
    <n v="0.21210000000000001"/>
    <n v="0.55000000000000004"/>
    <n v="0.1045"/>
    <n v="1"/>
    <n v="53"/>
    <n v="54"/>
    <x v="5"/>
  </r>
  <r>
    <n v="757"/>
    <d v="2011-02-03T00:00:00"/>
    <n v="1"/>
    <n v="0"/>
    <n v="2"/>
    <x v="22"/>
    <b v="0"/>
    <n v="4"/>
    <n v="1"/>
    <n v="0.18"/>
    <n v="0.21210000000000001"/>
    <n v="0.51"/>
    <n v="8.9599999999999999E-2"/>
    <n v="2"/>
    <n v="39"/>
    <n v="41"/>
    <x v="5"/>
  </r>
  <r>
    <n v="758"/>
    <d v="2011-02-03T00:00:00"/>
    <n v="1"/>
    <n v="0"/>
    <n v="2"/>
    <x v="23"/>
    <b v="0"/>
    <n v="4"/>
    <n v="1"/>
    <n v="0.2"/>
    <n v="0.2273"/>
    <n v="0.47"/>
    <n v="0.1045"/>
    <n v="4"/>
    <n v="34"/>
    <n v="38"/>
    <x v="5"/>
  </r>
  <r>
    <n v="759"/>
    <d v="2011-02-04T00:00:00"/>
    <n v="1"/>
    <n v="0"/>
    <n v="2"/>
    <x v="0"/>
    <b v="0"/>
    <n v="5"/>
    <n v="2"/>
    <n v="0.2"/>
    <n v="0.2576"/>
    <n v="0.44"/>
    <n v="0"/>
    <n v="3"/>
    <n v="10"/>
    <n v="13"/>
    <x v="6"/>
  </r>
  <r>
    <n v="760"/>
    <d v="2011-02-04T00:00:00"/>
    <n v="1"/>
    <n v="0"/>
    <n v="2"/>
    <x v="1"/>
    <b v="0"/>
    <n v="5"/>
    <n v="2"/>
    <n v="0.16"/>
    <n v="0.2273"/>
    <n v="0.59"/>
    <n v="0"/>
    <n v="0"/>
    <n v="7"/>
    <n v="7"/>
    <x v="6"/>
  </r>
  <r>
    <n v="761"/>
    <d v="2011-02-04T00:00:00"/>
    <n v="1"/>
    <n v="0"/>
    <n v="2"/>
    <x v="2"/>
    <b v="0"/>
    <n v="5"/>
    <n v="2"/>
    <n v="0.14000000000000001"/>
    <n v="0.16669999999999999"/>
    <n v="0.63"/>
    <n v="0.1045"/>
    <n v="0"/>
    <n v="1"/>
    <n v="1"/>
    <x v="6"/>
  </r>
  <r>
    <n v="762"/>
    <d v="2011-02-04T00:00:00"/>
    <n v="1"/>
    <n v="0"/>
    <n v="2"/>
    <x v="3"/>
    <b v="0"/>
    <n v="5"/>
    <n v="2"/>
    <n v="0.14000000000000001"/>
    <n v="0.16669999999999999"/>
    <n v="0.63"/>
    <n v="0.1045"/>
    <n v="0"/>
    <n v="1"/>
    <n v="1"/>
    <x v="6"/>
  </r>
  <r>
    <n v="763"/>
    <d v="2011-02-04T00:00:00"/>
    <n v="1"/>
    <n v="0"/>
    <n v="2"/>
    <x v="5"/>
    <b v="0"/>
    <n v="5"/>
    <n v="2"/>
    <n v="0.14000000000000001"/>
    <n v="0.1515"/>
    <n v="0.63"/>
    <n v="0.1343"/>
    <n v="0"/>
    <n v="7"/>
    <n v="7"/>
    <x v="6"/>
  </r>
  <r>
    <n v="764"/>
    <d v="2011-02-04T00:00:00"/>
    <n v="1"/>
    <n v="0"/>
    <n v="2"/>
    <x v="6"/>
    <b v="0"/>
    <n v="5"/>
    <n v="2"/>
    <n v="0.16"/>
    <n v="0.2273"/>
    <n v="0.55000000000000004"/>
    <n v="0"/>
    <n v="2"/>
    <n v="26"/>
    <n v="28"/>
    <x v="6"/>
  </r>
  <r>
    <n v="765"/>
    <d v="2011-02-04T00:00:00"/>
    <n v="1"/>
    <n v="0"/>
    <n v="2"/>
    <x v="7"/>
    <b v="0"/>
    <n v="5"/>
    <n v="1"/>
    <n v="0.14000000000000001"/>
    <n v="0.21210000000000001"/>
    <n v="0.59"/>
    <n v="0"/>
    <n v="0"/>
    <n v="87"/>
    <n v="87"/>
    <x v="6"/>
  </r>
  <r>
    <n v="766"/>
    <d v="2011-02-04T00:00:00"/>
    <n v="1"/>
    <n v="0"/>
    <n v="2"/>
    <x v="8"/>
    <b v="0"/>
    <n v="5"/>
    <n v="1"/>
    <n v="0.14000000000000001"/>
    <n v="0.1515"/>
    <n v="0.74"/>
    <n v="0.1343"/>
    <n v="3"/>
    <n v="217"/>
    <n v="220"/>
    <x v="6"/>
  </r>
  <r>
    <n v="767"/>
    <d v="2011-02-04T00:00:00"/>
    <n v="1"/>
    <n v="0"/>
    <n v="2"/>
    <x v="9"/>
    <b v="0"/>
    <n v="5"/>
    <n v="2"/>
    <n v="0.16"/>
    <n v="0.18179999999999999"/>
    <n v="0.8"/>
    <n v="0.1343"/>
    <n v="3"/>
    <n v="124"/>
    <n v="127"/>
    <x v="6"/>
  </r>
  <r>
    <n v="768"/>
    <d v="2011-02-04T00:00:00"/>
    <n v="1"/>
    <n v="0"/>
    <n v="2"/>
    <x v="10"/>
    <b v="0"/>
    <n v="5"/>
    <n v="2"/>
    <n v="0.2"/>
    <n v="0.21210000000000001"/>
    <n v="0.51"/>
    <n v="0.1343"/>
    <n v="5"/>
    <n v="46"/>
    <n v="51"/>
    <x v="6"/>
  </r>
  <r>
    <n v="769"/>
    <d v="2011-02-04T00:00:00"/>
    <n v="1"/>
    <n v="0"/>
    <n v="2"/>
    <x v="11"/>
    <b v="0"/>
    <n v="5"/>
    <n v="1"/>
    <n v="0.22"/>
    <n v="0.2273"/>
    <n v="0.51"/>
    <n v="0.16420000000000001"/>
    <n v="3"/>
    <n v="61"/>
    <n v="64"/>
    <x v="6"/>
  </r>
  <r>
    <n v="770"/>
    <d v="2011-02-04T00:00:00"/>
    <n v="1"/>
    <n v="0"/>
    <n v="2"/>
    <x v="12"/>
    <b v="0"/>
    <n v="5"/>
    <n v="2"/>
    <n v="0.24"/>
    <n v="0.2424"/>
    <n v="0.48"/>
    <n v="0.16420000000000001"/>
    <n v="8"/>
    <n v="78"/>
    <n v="86"/>
    <x v="6"/>
  </r>
  <r>
    <n v="771"/>
    <d v="2011-02-04T00:00:00"/>
    <n v="1"/>
    <n v="0"/>
    <n v="2"/>
    <x v="13"/>
    <b v="0"/>
    <n v="5"/>
    <n v="2"/>
    <n v="0.26"/>
    <n v="0.2576"/>
    <n v="0.5"/>
    <n v="0.22389999999999999"/>
    <n v="9"/>
    <n v="73"/>
    <n v="82"/>
    <x v="6"/>
  </r>
  <r>
    <n v="772"/>
    <d v="2011-02-04T00:00:00"/>
    <n v="1"/>
    <n v="0"/>
    <n v="2"/>
    <x v="14"/>
    <b v="0"/>
    <n v="5"/>
    <n v="2"/>
    <n v="0.28000000000000003"/>
    <n v="0.2727"/>
    <n v="0.45"/>
    <n v="0.16420000000000001"/>
    <n v="15"/>
    <n v="76"/>
    <n v="91"/>
    <x v="6"/>
  </r>
  <r>
    <n v="773"/>
    <d v="2011-02-04T00:00:00"/>
    <n v="1"/>
    <n v="0"/>
    <n v="2"/>
    <x v="15"/>
    <b v="0"/>
    <n v="5"/>
    <n v="2"/>
    <n v="0.28000000000000003"/>
    <n v="0.2727"/>
    <n v="0.48"/>
    <n v="0.25369999999999998"/>
    <n v="9"/>
    <n v="81"/>
    <n v="90"/>
    <x v="6"/>
  </r>
  <r>
    <n v="774"/>
    <d v="2011-02-04T00:00:00"/>
    <n v="1"/>
    <n v="0"/>
    <n v="2"/>
    <x v="16"/>
    <b v="0"/>
    <n v="5"/>
    <n v="2"/>
    <n v="0.3"/>
    <n v="0.28789999999999999"/>
    <n v="0.42"/>
    <n v="0.22389999999999999"/>
    <n v="8"/>
    <n v="91"/>
    <n v="99"/>
    <x v="6"/>
  </r>
  <r>
    <n v="775"/>
    <d v="2011-02-04T00:00:00"/>
    <n v="1"/>
    <n v="0"/>
    <n v="2"/>
    <x v="17"/>
    <b v="0"/>
    <n v="5"/>
    <n v="2"/>
    <n v="0.26"/>
    <n v="0.2727"/>
    <n v="0.56000000000000005"/>
    <n v="0.1343"/>
    <n v="10"/>
    <n v="195"/>
    <n v="205"/>
    <x v="6"/>
  </r>
  <r>
    <n v="776"/>
    <d v="2011-02-04T00:00:00"/>
    <n v="1"/>
    <n v="0"/>
    <n v="2"/>
    <x v="18"/>
    <b v="0"/>
    <n v="5"/>
    <n v="2"/>
    <n v="0.24"/>
    <n v="0.2576"/>
    <n v="0.6"/>
    <n v="0.1045"/>
    <n v="3"/>
    <n v="152"/>
    <n v="155"/>
    <x v="6"/>
  </r>
  <r>
    <n v="777"/>
    <d v="2011-02-04T00:00:00"/>
    <n v="1"/>
    <n v="0"/>
    <n v="2"/>
    <x v="19"/>
    <b v="0"/>
    <n v="5"/>
    <n v="2"/>
    <n v="0.24"/>
    <n v="0.2424"/>
    <n v="0.65"/>
    <n v="0.1343"/>
    <n v="1"/>
    <n v="102"/>
    <n v="103"/>
    <x v="6"/>
  </r>
  <r>
    <n v="778"/>
    <d v="2011-02-04T00:00:00"/>
    <n v="1"/>
    <n v="0"/>
    <n v="2"/>
    <x v="20"/>
    <b v="0"/>
    <n v="5"/>
    <n v="2"/>
    <n v="0.24"/>
    <n v="0.2424"/>
    <n v="0.65"/>
    <n v="0.16420000000000001"/>
    <n v="2"/>
    <n v="69"/>
    <n v="71"/>
    <x v="6"/>
  </r>
  <r>
    <n v="779"/>
    <d v="2011-02-04T00:00:00"/>
    <n v="1"/>
    <n v="0"/>
    <n v="2"/>
    <x v="21"/>
    <b v="0"/>
    <n v="5"/>
    <n v="2"/>
    <n v="0.24"/>
    <n v="0.2424"/>
    <n v="0.7"/>
    <n v="0.16420000000000001"/>
    <n v="2"/>
    <n v="41"/>
    <n v="43"/>
    <x v="6"/>
  </r>
  <r>
    <n v="780"/>
    <d v="2011-02-04T00:00:00"/>
    <n v="1"/>
    <n v="0"/>
    <n v="2"/>
    <x v="22"/>
    <b v="0"/>
    <n v="5"/>
    <n v="2"/>
    <n v="0.24"/>
    <n v="0.2424"/>
    <n v="0.65"/>
    <n v="0.16420000000000001"/>
    <n v="1"/>
    <n v="45"/>
    <n v="46"/>
    <x v="6"/>
  </r>
  <r>
    <n v="781"/>
    <d v="2011-02-04T00:00:00"/>
    <n v="1"/>
    <n v="0"/>
    <n v="2"/>
    <x v="23"/>
    <b v="0"/>
    <n v="5"/>
    <n v="2"/>
    <n v="0.24"/>
    <n v="0.2424"/>
    <n v="0.7"/>
    <n v="0.1343"/>
    <n v="1"/>
    <n v="30"/>
    <n v="31"/>
    <x v="6"/>
  </r>
  <r>
    <n v="782"/>
    <d v="2011-02-05T00:00:00"/>
    <n v="1"/>
    <n v="0"/>
    <n v="2"/>
    <x v="0"/>
    <b v="0"/>
    <n v="6"/>
    <n v="2"/>
    <n v="0.24"/>
    <n v="0.2424"/>
    <n v="0.7"/>
    <n v="0.16420000000000001"/>
    <n v="3"/>
    <n v="36"/>
    <n v="39"/>
    <x v="0"/>
  </r>
  <r>
    <n v="783"/>
    <d v="2011-02-05T00:00:00"/>
    <n v="1"/>
    <n v="0"/>
    <n v="2"/>
    <x v="1"/>
    <b v="0"/>
    <n v="6"/>
    <n v="2"/>
    <n v="0.24"/>
    <n v="0.2424"/>
    <n v="0.65"/>
    <n v="0.16420000000000001"/>
    <n v="1"/>
    <n v="17"/>
    <n v="18"/>
    <x v="0"/>
  </r>
  <r>
    <n v="784"/>
    <d v="2011-02-05T00:00:00"/>
    <n v="1"/>
    <n v="0"/>
    <n v="2"/>
    <x v="2"/>
    <b v="0"/>
    <n v="6"/>
    <n v="2"/>
    <n v="0.24"/>
    <n v="0.2424"/>
    <n v="0.75"/>
    <n v="0.16420000000000001"/>
    <n v="5"/>
    <n v="12"/>
    <n v="17"/>
    <x v="0"/>
  </r>
  <r>
    <n v="785"/>
    <d v="2011-02-05T00:00:00"/>
    <n v="1"/>
    <n v="0"/>
    <n v="2"/>
    <x v="3"/>
    <b v="0"/>
    <n v="6"/>
    <n v="2"/>
    <n v="0.24"/>
    <n v="0.2424"/>
    <n v="0.75"/>
    <n v="0.16420000000000001"/>
    <n v="1"/>
    <n v="10"/>
    <n v="11"/>
    <x v="0"/>
  </r>
  <r>
    <n v="786"/>
    <d v="2011-02-05T00:00:00"/>
    <n v="1"/>
    <n v="0"/>
    <n v="2"/>
    <x v="4"/>
    <b v="0"/>
    <n v="6"/>
    <n v="3"/>
    <n v="0.22"/>
    <n v="0.2273"/>
    <n v="0.93"/>
    <n v="0.1343"/>
    <n v="0"/>
    <n v="8"/>
    <n v="8"/>
    <x v="0"/>
  </r>
  <r>
    <n v="787"/>
    <d v="2011-02-05T00:00:00"/>
    <n v="1"/>
    <n v="0"/>
    <n v="2"/>
    <x v="5"/>
    <b v="0"/>
    <n v="6"/>
    <n v="3"/>
    <n v="0.2"/>
    <n v="0.2273"/>
    <n v="1"/>
    <n v="8.9599999999999999E-2"/>
    <n v="0"/>
    <n v="9"/>
    <n v="9"/>
    <x v="0"/>
  </r>
  <r>
    <n v="788"/>
    <d v="2011-02-05T00:00:00"/>
    <n v="1"/>
    <n v="0"/>
    <n v="2"/>
    <x v="6"/>
    <b v="0"/>
    <n v="6"/>
    <n v="3"/>
    <n v="0.2"/>
    <n v="0.2576"/>
    <n v="1"/>
    <n v="0"/>
    <n v="0"/>
    <n v="4"/>
    <n v="4"/>
    <x v="0"/>
  </r>
  <r>
    <n v="789"/>
    <d v="2011-02-05T00:00:00"/>
    <n v="1"/>
    <n v="0"/>
    <n v="2"/>
    <x v="7"/>
    <b v="0"/>
    <n v="6"/>
    <n v="3"/>
    <n v="0.22"/>
    <n v="0.2576"/>
    <n v="0.93"/>
    <n v="8.9599999999999999E-2"/>
    <n v="0"/>
    <n v="4"/>
    <n v="4"/>
    <x v="0"/>
  </r>
  <r>
    <n v="790"/>
    <d v="2011-02-05T00:00:00"/>
    <n v="1"/>
    <n v="0"/>
    <n v="2"/>
    <x v="8"/>
    <b v="0"/>
    <n v="6"/>
    <n v="3"/>
    <n v="0.2"/>
    <n v="0.2273"/>
    <n v="1"/>
    <n v="8.9599999999999999E-2"/>
    <n v="0"/>
    <n v="10"/>
    <n v="10"/>
    <x v="0"/>
  </r>
  <r>
    <n v="791"/>
    <d v="2011-02-05T00:00:00"/>
    <n v="1"/>
    <n v="0"/>
    <n v="2"/>
    <x v="9"/>
    <b v="0"/>
    <n v="6"/>
    <n v="3"/>
    <n v="0.2"/>
    <n v="0.2273"/>
    <n v="1"/>
    <n v="8.9599999999999999E-2"/>
    <n v="3"/>
    <n v="17"/>
    <n v="20"/>
    <x v="0"/>
  </r>
  <r>
    <n v="792"/>
    <d v="2011-02-05T00:00:00"/>
    <n v="1"/>
    <n v="0"/>
    <n v="2"/>
    <x v="10"/>
    <b v="0"/>
    <n v="6"/>
    <n v="3"/>
    <n v="0.2"/>
    <n v="0.21210000000000001"/>
    <n v="1"/>
    <n v="0.1343"/>
    <n v="3"/>
    <n v="31"/>
    <n v="34"/>
    <x v="0"/>
  </r>
  <r>
    <n v="793"/>
    <d v="2011-02-05T00:00:00"/>
    <n v="1"/>
    <n v="0"/>
    <n v="2"/>
    <x v="11"/>
    <b v="0"/>
    <n v="6"/>
    <n v="3"/>
    <n v="0.22"/>
    <n v="0.2273"/>
    <n v="1"/>
    <n v="0.1343"/>
    <n v="1"/>
    <n v="46"/>
    <n v="47"/>
    <x v="0"/>
  </r>
  <r>
    <n v="794"/>
    <d v="2011-02-05T00:00:00"/>
    <n v="1"/>
    <n v="0"/>
    <n v="2"/>
    <x v="12"/>
    <b v="0"/>
    <n v="6"/>
    <n v="3"/>
    <n v="0.22"/>
    <n v="0.2273"/>
    <n v="1"/>
    <n v="0.16420000000000001"/>
    <n v="10"/>
    <n v="42"/>
    <n v="52"/>
    <x v="0"/>
  </r>
  <r>
    <n v="795"/>
    <d v="2011-02-05T00:00:00"/>
    <n v="1"/>
    <n v="0"/>
    <n v="2"/>
    <x v="13"/>
    <b v="0"/>
    <n v="6"/>
    <n v="3"/>
    <n v="0.22"/>
    <n v="0.2273"/>
    <n v="1"/>
    <n v="0.16420000000000001"/>
    <n v="10"/>
    <n v="62"/>
    <n v="72"/>
    <x v="0"/>
  </r>
  <r>
    <n v="796"/>
    <d v="2011-02-05T00:00:00"/>
    <n v="1"/>
    <n v="0"/>
    <n v="2"/>
    <x v="14"/>
    <b v="0"/>
    <n v="6"/>
    <n v="3"/>
    <n v="0.22"/>
    <n v="0.2727"/>
    <n v="1"/>
    <n v="0"/>
    <n v="5"/>
    <n v="50"/>
    <n v="55"/>
    <x v="0"/>
  </r>
  <r>
    <n v="797"/>
    <d v="2011-02-05T00:00:00"/>
    <n v="1"/>
    <n v="0"/>
    <n v="2"/>
    <x v="15"/>
    <b v="0"/>
    <n v="6"/>
    <n v="3"/>
    <n v="0.22"/>
    <n v="0.2727"/>
    <n v="1"/>
    <n v="0"/>
    <n v="11"/>
    <n v="49"/>
    <n v="60"/>
    <x v="0"/>
  </r>
  <r>
    <n v="798"/>
    <d v="2011-02-05T00:00:00"/>
    <n v="1"/>
    <n v="0"/>
    <n v="2"/>
    <x v="16"/>
    <b v="0"/>
    <n v="6"/>
    <n v="3"/>
    <n v="0.22"/>
    <n v="0.2273"/>
    <n v="1"/>
    <n v="0.1343"/>
    <n v="8"/>
    <n v="63"/>
    <n v="71"/>
    <x v="0"/>
  </r>
  <r>
    <n v="799"/>
    <d v="2011-02-05T00:00:00"/>
    <n v="1"/>
    <n v="0"/>
    <n v="2"/>
    <x v="17"/>
    <b v="0"/>
    <n v="6"/>
    <n v="2"/>
    <n v="0.24"/>
    <n v="0.21210000000000001"/>
    <n v="1"/>
    <n v="0.28360000000000002"/>
    <n v="14"/>
    <n v="64"/>
    <n v="78"/>
    <x v="0"/>
  </r>
  <r>
    <n v="800"/>
    <d v="2011-02-05T00:00:00"/>
    <n v="1"/>
    <n v="0"/>
    <n v="2"/>
    <x v="18"/>
    <b v="0"/>
    <n v="6"/>
    <n v="2"/>
    <n v="0.28000000000000003"/>
    <n v="0.2424"/>
    <n v="0.93"/>
    <n v="0.44779999999999998"/>
    <n v="2"/>
    <n v="81"/>
    <n v="83"/>
    <x v="0"/>
  </r>
  <r>
    <n v="801"/>
    <d v="2011-02-05T00:00:00"/>
    <n v="1"/>
    <n v="0"/>
    <n v="2"/>
    <x v="19"/>
    <b v="0"/>
    <n v="6"/>
    <n v="2"/>
    <n v="0.28000000000000003"/>
    <n v="0.2424"/>
    <n v="0.93"/>
    <n v="0.44779999999999998"/>
    <n v="6"/>
    <n v="78"/>
    <n v="84"/>
    <x v="0"/>
  </r>
  <r>
    <n v="802"/>
    <d v="2011-02-05T00:00:00"/>
    <n v="1"/>
    <n v="0"/>
    <n v="2"/>
    <x v="20"/>
    <b v="0"/>
    <n v="6"/>
    <n v="1"/>
    <n v="0.3"/>
    <n v="0.28789999999999999"/>
    <n v="0.87"/>
    <n v="0.25369999999999998"/>
    <n v="5"/>
    <n v="64"/>
    <n v="69"/>
    <x v="0"/>
  </r>
  <r>
    <n v="803"/>
    <d v="2011-02-05T00:00:00"/>
    <n v="1"/>
    <n v="0"/>
    <n v="2"/>
    <x v="21"/>
    <b v="0"/>
    <n v="6"/>
    <n v="1"/>
    <n v="0.26"/>
    <n v="0.2576"/>
    <n v="1"/>
    <n v="0.19400000000000001"/>
    <n v="3"/>
    <n v="53"/>
    <n v="56"/>
    <x v="0"/>
  </r>
  <r>
    <n v="804"/>
    <d v="2011-02-05T00:00:00"/>
    <n v="1"/>
    <n v="0"/>
    <n v="2"/>
    <x v="22"/>
    <b v="0"/>
    <n v="6"/>
    <n v="1"/>
    <n v="0.26"/>
    <n v="0.2727"/>
    <n v="0.93"/>
    <n v="0.1343"/>
    <n v="2"/>
    <n v="43"/>
    <n v="45"/>
    <x v="0"/>
  </r>
  <r>
    <n v="805"/>
    <d v="2011-02-05T00:00:00"/>
    <n v="1"/>
    <n v="0"/>
    <n v="2"/>
    <x v="23"/>
    <b v="0"/>
    <n v="6"/>
    <n v="1"/>
    <n v="0.26"/>
    <n v="0.2576"/>
    <n v="0.93"/>
    <n v="0.22389999999999999"/>
    <n v="7"/>
    <n v="52"/>
    <n v="59"/>
    <x v="0"/>
  </r>
  <r>
    <n v="806"/>
    <d v="2011-02-06T00:00:00"/>
    <n v="1"/>
    <n v="0"/>
    <n v="2"/>
    <x v="0"/>
    <b v="0"/>
    <n v="0"/>
    <n v="1"/>
    <n v="0.26"/>
    <n v="0.2576"/>
    <n v="0.7"/>
    <n v="0.19400000000000001"/>
    <n v="2"/>
    <n v="37"/>
    <n v="39"/>
    <x v="1"/>
  </r>
  <r>
    <n v="807"/>
    <d v="2011-02-06T00:00:00"/>
    <n v="1"/>
    <n v="0"/>
    <n v="2"/>
    <x v="1"/>
    <b v="0"/>
    <n v="0"/>
    <n v="1"/>
    <n v="0.26"/>
    <n v="0.2273"/>
    <n v="0.65"/>
    <n v="0.41789999999999999"/>
    <n v="4"/>
    <n v="40"/>
    <n v="44"/>
    <x v="1"/>
  </r>
  <r>
    <n v="808"/>
    <d v="2011-02-06T00:00:00"/>
    <n v="1"/>
    <n v="0"/>
    <n v="2"/>
    <x v="2"/>
    <b v="0"/>
    <n v="0"/>
    <n v="1"/>
    <n v="0.26"/>
    <n v="0.2273"/>
    <n v="0.6"/>
    <n v="0.32840000000000003"/>
    <n v="0"/>
    <n v="20"/>
    <n v="20"/>
    <x v="1"/>
  </r>
  <r>
    <n v="809"/>
    <d v="2011-02-06T00:00:00"/>
    <n v="1"/>
    <n v="0"/>
    <n v="2"/>
    <x v="3"/>
    <b v="0"/>
    <n v="0"/>
    <n v="1"/>
    <n v="0.26"/>
    <n v="0.28789999999999999"/>
    <n v="0.6"/>
    <n v="8.9599999999999999E-2"/>
    <n v="3"/>
    <n v="10"/>
    <n v="13"/>
    <x v="1"/>
  </r>
  <r>
    <n v="810"/>
    <d v="2011-02-06T00:00:00"/>
    <n v="1"/>
    <n v="0"/>
    <n v="2"/>
    <x v="4"/>
    <b v="0"/>
    <n v="0"/>
    <n v="1"/>
    <n v="0.26"/>
    <n v="0.2273"/>
    <n v="0.6"/>
    <n v="0.35820000000000002"/>
    <n v="0"/>
    <n v="2"/>
    <n v="2"/>
    <x v="1"/>
  </r>
  <r>
    <n v="811"/>
    <d v="2011-02-06T00:00:00"/>
    <n v="1"/>
    <n v="0"/>
    <n v="2"/>
    <x v="5"/>
    <b v="0"/>
    <n v="0"/>
    <n v="1"/>
    <n v="0.26"/>
    <n v="0.2576"/>
    <n v="0.6"/>
    <n v="0.22389999999999999"/>
    <n v="0"/>
    <n v="1"/>
    <n v="1"/>
    <x v="1"/>
  </r>
  <r>
    <n v="812"/>
    <d v="2011-02-06T00:00:00"/>
    <n v="1"/>
    <n v="0"/>
    <n v="2"/>
    <x v="6"/>
    <b v="0"/>
    <n v="0"/>
    <n v="1"/>
    <n v="0.26"/>
    <n v="0.2576"/>
    <n v="0.6"/>
    <n v="0.22389999999999999"/>
    <n v="0"/>
    <n v="1"/>
    <n v="1"/>
    <x v="1"/>
  </r>
  <r>
    <n v="813"/>
    <d v="2011-02-06T00:00:00"/>
    <n v="1"/>
    <n v="0"/>
    <n v="2"/>
    <x v="7"/>
    <b v="0"/>
    <n v="0"/>
    <n v="1"/>
    <n v="0.24"/>
    <n v="0.2424"/>
    <n v="0.65"/>
    <n v="0.16420000000000001"/>
    <n v="0"/>
    <n v="8"/>
    <n v="8"/>
    <x v="1"/>
  </r>
  <r>
    <n v="814"/>
    <d v="2011-02-06T00:00:00"/>
    <n v="1"/>
    <n v="0"/>
    <n v="2"/>
    <x v="8"/>
    <b v="0"/>
    <n v="0"/>
    <n v="1"/>
    <n v="0.24"/>
    <n v="0.2576"/>
    <n v="0.65"/>
    <n v="0.1045"/>
    <n v="2"/>
    <n v="21"/>
    <n v="23"/>
    <x v="1"/>
  </r>
  <r>
    <n v="815"/>
    <d v="2011-02-06T00:00:00"/>
    <n v="1"/>
    <n v="0"/>
    <n v="2"/>
    <x v="9"/>
    <b v="0"/>
    <n v="0"/>
    <n v="1"/>
    <n v="0.28000000000000003"/>
    <n v="0.28789999999999999"/>
    <n v="0.56000000000000005"/>
    <n v="0.1045"/>
    <n v="7"/>
    <n v="38"/>
    <n v="45"/>
    <x v="1"/>
  </r>
  <r>
    <n v="816"/>
    <d v="2011-02-06T00:00:00"/>
    <n v="1"/>
    <n v="0"/>
    <n v="2"/>
    <x v="10"/>
    <b v="0"/>
    <n v="0"/>
    <n v="1"/>
    <n v="0.3"/>
    <n v="0.28789999999999999"/>
    <n v="0.52"/>
    <n v="0.25369999999999998"/>
    <n v="15"/>
    <n v="74"/>
    <n v="89"/>
    <x v="1"/>
  </r>
  <r>
    <n v="817"/>
    <d v="2011-02-06T00:00:00"/>
    <n v="1"/>
    <n v="0"/>
    <n v="2"/>
    <x v="11"/>
    <b v="0"/>
    <n v="0"/>
    <n v="1"/>
    <n v="0.32"/>
    <n v="0.30299999999999999"/>
    <n v="0.49"/>
    <n v="0.25369999999999998"/>
    <n v="28"/>
    <n v="89"/>
    <n v="117"/>
    <x v="1"/>
  </r>
  <r>
    <n v="818"/>
    <d v="2011-02-06T00:00:00"/>
    <n v="1"/>
    <n v="0"/>
    <n v="2"/>
    <x v="12"/>
    <b v="0"/>
    <n v="0"/>
    <n v="1"/>
    <n v="0.34"/>
    <n v="0.33329999999999999"/>
    <n v="0.46"/>
    <n v="0"/>
    <n v="48"/>
    <n v="126"/>
    <n v="174"/>
    <x v="1"/>
  </r>
  <r>
    <n v="819"/>
    <d v="2011-02-06T00:00:00"/>
    <n v="1"/>
    <n v="0"/>
    <n v="2"/>
    <x v="13"/>
    <b v="0"/>
    <n v="0"/>
    <n v="1"/>
    <n v="0.34"/>
    <n v="0.36359999999999998"/>
    <n v="0.46"/>
    <n v="0"/>
    <n v="47"/>
    <n v="135"/>
    <n v="182"/>
    <x v="1"/>
  </r>
  <r>
    <n v="820"/>
    <d v="2011-02-06T00:00:00"/>
    <n v="1"/>
    <n v="0"/>
    <n v="2"/>
    <x v="14"/>
    <b v="0"/>
    <n v="0"/>
    <n v="1"/>
    <n v="0.34"/>
    <n v="0.34849999999999998"/>
    <n v="0.46"/>
    <n v="8.9599999999999999E-2"/>
    <n v="47"/>
    <n v="114"/>
    <n v="161"/>
    <x v="1"/>
  </r>
  <r>
    <n v="821"/>
    <d v="2011-02-06T00:00:00"/>
    <n v="1"/>
    <n v="0"/>
    <n v="2"/>
    <x v="15"/>
    <b v="0"/>
    <n v="0"/>
    <n v="1"/>
    <n v="0.34"/>
    <n v="0.34849999999999998"/>
    <n v="0.46"/>
    <n v="8.9599999999999999E-2"/>
    <n v="52"/>
    <n v="130"/>
    <n v="182"/>
    <x v="1"/>
  </r>
  <r>
    <n v="822"/>
    <d v="2011-02-06T00:00:00"/>
    <n v="1"/>
    <n v="0"/>
    <n v="2"/>
    <x v="16"/>
    <b v="0"/>
    <n v="0"/>
    <n v="1"/>
    <n v="0.34"/>
    <n v="0.34849999999999998"/>
    <n v="0.49"/>
    <n v="0.1045"/>
    <n v="42"/>
    <n v="115"/>
    <n v="157"/>
    <x v="1"/>
  </r>
  <r>
    <n v="823"/>
    <d v="2011-02-06T00:00:00"/>
    <n v="1"/>
    <n v="0"/>
    <n v="2"/>
    <x v="17"/>
    <b v="0"/>
    <n v="0"/>
    <n v="1"/>
    <n v="0.34"/>
    <n v="0.36359999999999998"/>
    <n v="0.46"/>
    <n v="0"/>
    <n v="24"/>
    <n v="97"/>
    <n v="121"/>
    <x v="1"/>
  </r>
  <r>
    <n v="824"/>
    <d v="2011-02-06T00:00:00"/>
    <n v="1"/>
    <n v="0"/>
    <n v="2"/>
    <x v="18"/>
    <b v="0"/>
    <n v="0"/>
    <n v="1"/>
    <n v="0.3"/>
    <n v="0.30299999999999999"/>
    <n v="0.56000000000000005"/>
    <n v="0.16420000000000001"/>
    <n v="13"/>
    <n v="65"/>
    <n v="78"/>
    <x v="1"/>
  </r>
  <r>
    <n v="825"/>
    <d v="2011-02-06T00:00:00"/>
    <n v="1"/>
    <n v="0"/>
    <n v="2"/>
    <x v="19"/>
    <b v="0"/>
    <n v="0"/>
    <n v="1"/>
    <n v="0.28000000000000003"/>
    <n v="0.28789999999999999"/>
    <n v="0.61"/>
    <n v="0.1343"/>
    <n v="1"/>
    <n v="20"/>
    <n v="21"/>
    <x v="1"/>
  </r>
  <r>
    <n v="826"/>
    <d v="2011-02-06T00:00:00"/>
    <n v="1"/>
    <n v="0"/>
    <n v="2"/>
    <x v="20"/>
    <b v="0"/>
    <n v="0"/>
    <n v="1"/>
    <n v="0.28000000000000003"/>
    <n v="0.28789999999999999"/>
    <n v="0.61"/>
    <n v="0.1045"/>
    <n v="5"/>
    <n v="21"/>
    <n v="26"/>
    <x v="1"/>
  </r>
  <r>
    <n v="827"/>
    <d v="2011-02-06T00:00:00"/>
    <n v="1"/>
    <n v="0"/>
    <n v="2"/>
    <x v="21"/>
    <b v="0"/>
    <n v="0"/>
    <n v="1"/>
    <n v="0.26"/>
    <n v="0.30299999999999999"/>
    <n v="0.6"/>
    <n v="0"/>
    <n v="5"/>
    <n v="22"/>
    <n v="27"/>
    <x v="1"/>
  </r>
  <r>
    <n v="828"/>
    <d v="2011-02-06T00:00:00"/>
    <n v="1"/>
    <n v="0"/>
    <n v="2"/>
    <x v="22"/>
    <b v="0"/>
    <n v="0"/>
    <n v="1"/>
    <n v="0.26"/>
    <n v="0.30299999999999999"/>
    <n v="0.6"/>
    <n v="0"/>
    <n v="5"/>
    <n v="57"/>
    <n v="62"/>
    <x v="1"/>
  </r>
  <r>
    <n v="829"/>
    <d v="2011-02-06T00:00:00"/>
    <n v="1"/>
    <n v="0"/>
    <n v="2"/>
    <x v="23"/>
    <b v="0"/>
    <n v="0"/>
    <n v="1"/>
    <n v="0.24"/>
    <n v="0.28789999999999999"/>
    <n v="0.65"/>
    <n v="0"/>
    <n v="4"/>
    <n v="26"/>
    <n v="30"/>
    <x v="1"/>
  </r>
  <r>
    <n v="830"/>
    <d v="2011-02-07T00:00:00"/>
    <n v="1"/>
    <n v="0"/>
    <n v="2"/>
    <x v="0"/>
    <b v="0"/>
    <n v="1"/>
    <n v="1"/>
    <n v="0.24"/>
    <n v="0.28789999999999999"/>
    <n v="0.65"/>
    <n v="0"/>
    <n v="1"/>
    <n v="14"/>
    <n v="15"/>
    <x v="2"/>
  </r>
  <r>
    <n v="831"/>
    <d v="2011-02-07T00:00:00"/>
    <n v="1"/>
    <n v="0"/>
    <n v="2"/>
    <x v="1"/>
    <b v="0"/>
    <n v="1"/>
    <n v="1"/>
    <n v="0.22"/>
    <n v="0.2727"/>
    <n v="0.75"/>
    <n v="0"/>
    <n v="1"/>
    <n v="4"/>
    <n v="5"/>
    <x v="2"/>
  </r>
  <r>
    <n v="832"/>
    <d v="2011-02-07T00:00:00"/>
    <n v="1"/>
    <n v="0"/>
    <n v="2"/>
    <x v="2"/>
    <b v="0"/>
    <n v="1"/>
    <n v="1"/>
    <n v="0.2"/>
    <n v="0.2576"/>
    <n v="0.8"/>
    <n v="0"/>
    <n v="0"/>
    <n v="3"/>
    <n v="3"/>
    <x v="2"/>
  </r>
  <r>
    <n v="833"/>
    <d v="2011-02-07T00:00:00"/>
    <n v="1"/>
    <n v="0"/>
    <n v="2"/>
    <x v="3"/>
    <b v="0"/>
    <n v="1"/>
    <n v="1"/>
    <n v="0.2"/>
    <n v="0.2576"/>
    <n v="0.86"/>
    <n v="0"/>
    <n v="0"/>
    <n v="1"/>
    <n v="1"/>
    <x v="2"/>
  </r>
  <r>
    <n v="834"/>
    <d v="2011-02-07T00:00:00"/>
    <n v="1"/>
    <n v="0"/>
    <n v="2"/>
    <x v="4"/>
    <b v="0"/>
    <n v="1"/>
    <n v="1"/>
    <n v="0.2"/>
    <n v="0.2576"/>
    <n v="0.86"/>
    <n v="0"/>
    <n v="1"/>
    <n v="1"/>
    <n v="2"/>
    <x v="2"/>
  </r>
  <r>
    <n v="835"/>
    <d v="2011-02-07T00:00:00"/>
    <n v="1"/>
    <n v="0"/>
    <n v="2"/>
    <x v="5"/>
    <b v="0"/>
    <n v="1"/>
    <n v="1"/>
    <n v="0.2"/>
    <n v="0.2576"/>
    <n v="0.86"/>
    <n v="0"/>
    <n v="1"/>
    <n v="9"/>
    <n v="10"/>
    <x v="2"/>
  </r>
  <r>
    <n v="836"/>
    <d v="2011-02-07T00:00:00"/>
    <n v="1"/>
    <n v="0"/>
    <n v="2"/>
    <x v="6"/>
    <b v="0"/>
    <n v="1"/>
    <n v="1"/>
    <n v="0.18"/>
    <n v="0.2424"/>
    <n v="0.93"/>
    <n v="0"/>
    <n v="1"/>
    <n v="29"/>
    <n v="30"/>
    <x v="2"/>
  </r>
  <r>
    <n v="837"/>
    <d v="2011-02-07T00:00:00"/>
    <n v="1"/>
    <n v="0"/>
    <n v="2"/>
    <x v="7"/>
    <b v="0"/>
    <n v="1"/>
    <n v="1"/>
    <n v="0.18"/>
    <n v="0.2424"/>
    <n v="0.86"/>
    <n v="0"/>
    <n v="6"/>
    <n v="89"/>
    <n v="95"/>
    <x v="2"/>
  </r>
  <r>
    <n v="838"/>
    <d v="2011-02-07T00:00:00"/>
    <n v="1"/>
    <n v="0"/>
    <n v="2"/>
    <x v="8"/>
    <b v="0"/>
    <n v="1"/>
    <n v="2"/>
    <n v="0.16"/>
    <n v="0.2273"/>
    <n v="1"/>
    <n v="0"/>
    <n v="7"/>
    <n v="223"/>
    <n v="230"/>
    <x v="2"/>
  </r>
  <r>
    <n v="839"/>
    <d v="2011-02-07T00:00:00"/>
    <n v="1"/>
    <n v="0"/>
    <n v="2"/>
    <x v="9"/>
    <b v="0"/>
    <n v="1"/>
    <n v="1"/>
    <n v="0.22"/>
    <n v="0.2727"/>
    <n v="0.8"/>
    <n v="0"/>
    <n v="3"/>
    <n v="115"/>
    <n v="118"/>
    <x v="2"/>
  </r>
  <r>
    <n v="840"/>
    <d v="2011-02-07T00:00:00"/>
    <n v="1"/>
    <n v="0"/>
    <n v="2"/>
    <x v="10"/>
    <b v="0"/>
    <n v="1"/>
    <n v="1"/>
    <n v="0.24"/>
    <n v="0.2576"/>
    <n v="0.75"/>
    <n v="0.1045"/>
    <n v="6"/>
    <n v="49"/>
    <n v="55"/>
    <x v="2"/>
  </r>
  <r>
    <n v="841"/>
    <d v="2011-02-07T00:00:00"/>
    <n v="1"/>
    <n v="0"/>
    <n v="2"/>
    <x v="11"/>
    <b v="0"/>
    <n v="1"/>
    <n v="1"/>
    <n v="0.3"/>
    <n v="0.31819999999999998"/>
    <n v="0.65"/>
    <n v="8.9599999999999999E-2"/>
    <n v="11"/>
    <n v="36"/>
    <n v="47"/>
    <x v="2"/>
  </r>
  <r>
    <n v="842"/>
    <d v="2011-02-07T00:00:00"/>
    <n v="1"/>
    <n v="0"/>
    <n v="2"/>
    <x v="12"/>
    <b v="0"/>
    <n v="1"/>
    <n v="2"/>
    <n v="0.32"/>
    <n v="0.34849999999999998"/>
    <n v="0.62"/>
    <n v="0"/>
    <n v="7"/>
    <n v="59"/>
    <n v="66"/>
    <x v="2"/>
  </r>
  <r>
    <n v="843"/>
    <d v="2011-02-07T00:00:00"/>
    <n v="1"/>
    <n v="0"/>
    <n v="2"/>
    <x v="13"/>
    <b v="0"/>
    <n v="1"/>
    <n v="2"/>
    <n v="0.36"/>
    <n v="0.36359999999999998"/>
    <n v="0.56999999999999995"/>
    <n v="8.9599999999999999E-2"/>
    <n v="10"/>
    <n v="54"/>
    <n v="64"/>
    <x v="2"/>
  </r>
  <r>
    <n v="844"/>
    <d v="2011-02-07T00:00:00"/>
    <n v="1"/>
    <n v="0"/>
    <n v="2"/>
    <x v="14"/>
    <b v="0"/>
    <n v="1"/>
    <n v="2"/>
    <n v="0.36"/>
    <n v="0.36359999999999998"/>
    <n v="0.56999999999999995"/>
    <n v="8.9599999999999999E-2"/>
    <n v="8"/>
    <n v="52"/>
    <n v="60"/>
    <x v="2"/>
  </r>
  <r>
    <n v="845"/>
    <d v="2011-02-07T00:00:00"/>
    <n v="1"/>
    <n v="0"/>
    <n v="2"/>
    <x v="15"/>
    <b v="0"/>
    <n v="1"/>
    <n v="2"/>
    <n v="0.38"/>
    <n v="0.39389999999999997"/>
    <n v="0.54"/>
    <n v="8.9599999999999999E-2"/>
    <n v="4"/>
    <n v="46"/>
    <n v="50"/>
    <x v="2"/>
  </r>
  <r>
    <n v="846"/>
    <d v="2011-02-07T00:00:00"/>
    <n v="1"/>
    <n v="0"/>
    <n v="2"/>
    <x v="16"/>
    <b v="0"/>
    <n v="1"/>
    <n v="2"/>
    <n v="0.36"/>
    <n v="0.34849999999999998"/>
    <n v="0.56999999999999995"/>
    <n v="0.1343"/>
    <n v="16"/>
    <n v="98"/>
    <n v="114"/>
    <x v="2"/>
  </r>
  <r>
    <n v="847"/>
    <d v="2011-02-07T00:00:00"/>
    <n v="1"/>
    <n v="0"/>
    <n v="2"/>
    <x v="17"/>
    <b v="0"/>
    <n v="1"/>
    <n v="2"/>
    <n v="0.32"/>
    <n v="0.31819999999999998"/>
    <n v="0.7"/>
    <n v="0.16420000000000001"/>
    <n v="9"/>
    <n v="207"/>
    <n v="216"/>
    <x v="2"/>
  </r>
  <r>
    <n v="848"/>
    <d v="2011-02-07T00:00:00"/>
    <n v="1"/>
    <n v="0"/>
    <n v="2"/>
    <x v="18"/>
    <b v="0"/>
    <n v="1"/>
    <n v="2"/>
    <n v="0.34"/>
    <n v="0.33329999999999999"/>
    <n v="0.66"/>
    <n v="0.1343"/>
    <n v="5"/>
    <n v="170"/>
    <n v="175"/>
    <x v="2"/>
  </r>
  <r>
    <n v="849"/>
    <d v="2011-02-07T00:00:00"/>
    <n v="1"/>
    <n v="0"/>
    <n v="2"/>
    <x v="19"/>
    <b v="0"/>
    <n v="1"/>
    <n v="2"/>
    <n v="0.32"/>
    <n v="0.34849999999999998"/>
    <n v="0.7"/>
    <n v="0"/>
    <n v="5"/>
    <n v="123"/>
    <n v="128"/>
    <x v="2"/>
  </r>
  <r>
    <n v="850"/>
    <d v="2011-02-07T00:00:00"/>
    <n v="1"/>
    <n v="0"/>
    <n v="2"/>
    <x v="20"/>
    <b v="0"/>
    <n v="1"/>
    <n v="2"/>
    <n v="0.32"/>
    <n v="0.33329999999999999"/>
    <n v="0.7"/>
    <n v="0.1045"/>
    <n v="6"/>
    <n v="82"/>
    <n v="88"/>
    <x v="2"/>
  </r>
  <r>
    <n v="851"/>
    <d v="2011-02-07T00:00:00"/>
    <n v="1"/>
    <n v="0"/>
    <n v="2"/>
    <x v="21"/>
    <b v="0"/>
    <n v="1"/>
    <n v="1"/>
    <n v="0.32"/>
    <n v="0.34849999999999998"/>
    <n v="0.7"/>
    <n v="0"/>
    <n v="3"/>
    <n v="75"/>
    <n v="78"/>
    <x v="2"/>
  </r>
  <r>
    <n v="852"/>
    <d v="2011-02-07T00:00:00"/>
    <n v="1"/>
    <n v="0"/>
    <n v="2"/>
    <x v="22"/>
    <b v="0"/>
    <n v="1"/>
    <n v="1"/>
    <n v="0.28000000000000003"/>
    <n v="0.30299999999999999"/>
    <n v="0.81"/>
    <n v="8.9599999999999999E-2"/>
    <n v="3"/>
    <n v="34"/>
    <n v="37"/>
    <x v="2"/>
  </r>
  <r>
    <n v="853"/>
    <d v="2011-02-07T00:00:00"/>
    <n v="1"/>
    <n v="0"/>
    <n v="2"/>
    <x v="23"/>
    <b v="0"/>
    <n v="1"/>
    <n v="2"/>
    <n v="0.3"/>
    <n v="0.33329999999999999"/>
    <n v="0.81"/>
    <n v="0"/>
    <n v="6"/>
    <n v="19"/>
    <n v="25"/>
    <x v="2"/>
  </r>
  <r>
    <n v="854"/>
    <d v="2011-02-08T00:00:00"/>
    <n v="1"/>
    <n v="0"/>
    <n v="2"/>
    <x v="0"/>
    <b v="0"/>
    <n v="2"/>
    <n v="2"/>
    <n v="0.28000000000000003"/>
    <n v="0.31819999999999998"/>
    <n v="0.87"/>
    <n v="0"/>
    <n v="4"/>
    <n v="6"/>
    <n v="10"/>
    <x v="3"/>
  </r>
  <r>
    <n v="855"/>
    <d v="2011-02-08T00:00:00"/>
    <n v="1"/>
    <n v="0"/>
    <n v="2"/>
    <x v="1"/>
    <b v="0"/>
    <n v="2"/>
    <n v="2"/>
    <n v="0.28000000000000003"/>
    <n v="0.31819999999999998"/>
    <n v="0.87"/>
    <n v="0"/>
    <n v="0"/>
    <n v="4"/>
    <n v="4"/>
    <x v="3"/>
  </r>
  <r>
    <n v="856"/>
    <d v="2011-02-08T00:00:00"/>
    <n v="1"/>
    <n v="0"/>
    <n v="2"/>
    <x v="2"/>
    <b v="0"/>
    <n v="2"/>
    <n v="2"/>
    <n v="0.26"/>
    <n v="0.2727"/>
    <n v="0.93"/>
    <n v="0.1045"/>
    <n v="1"/>
    <n v="1"/>
    <n v="2"/>
    <x v="3"/>
  </r>
  <r>
    <n v="857"/>
    <d v="2011-02-08T00:00:00"/>
    <n v="1"/>
    <n v="0"/>
    <n v="2"/>
    <x v="3"/>
    <b v="0"/>
    <n v="2"/>
    <n v="3"/>
    <n v="0.28000000000000003"/>
    <n v="0.2727"/>
    <n v="0.93"/>
    <n v="0.16420000000000001"/>
    <n v="0"/>
    <n v="1"/>
    <n v="1"/>
    <x v="3"/>
  </r>
  <r>
    <n v="858"/>
    <d v="2011-02-08T00:00:00"/>
    <n v="1"/>
    <n v="0"/>
    <n v="2"/>
    <x v="4"/>
    <b v="0"/>
    <n v="2"/>
    <n v="1"/>
    <n v="0.26"/>
    <n v="0.2576"/>
    <n v="0.93"/>
    <n v="0.16420000000000001"/>
    <n v="0"/>
    <n v="3"/>
    <n v="3"/>
    <x v="3"/>
  </r>
  <r>
    <n v="859"/>
    <d v="2011-02-08T00:00:00"/>
    <n v="1"/>
    <n v="0"/>
    <n v="2"/>
    <x v="5"/>
    <b v="0"/>
    <n v="2"/>
    <n v="1"/>
    <n v="0.26"/>
    <n v="0.2273"/>
    <n v="0.81"/>
    <n v="0.32840000000000003"/>
    <n v="0"/>
    <n v="2"/>
    <n v="2"/>
    <x v="3"/>
  </r>
  <r>
    <n v="860"/>
    <d v="2011-02-08T00:00:00"/>
    <n v="1"/>
    <n v="0"/>
    <n v="2"/>
    <x v="6"/>
    <b v="0"/>
    <n v="2"/>
    <n v="1"/>
    <n v="0.26"/>
    <n v="0.2273"/>
    <n v="0.7"/>
    <n v="0.32840000000000003"/>
    <n v="0"/>
    <n v="39"/>
    <n v="39"/>
    <x v="3"/>
  </r>
  <r>
    <n v="861"/>
    <d v="2011-02-08T00:00:00"/>
    <n v="1"/>
    <n v="0"/>
    <n v="2"/>
    <x v="7"/>
    <b v="0"/>
    <n v="2"/>
    <n v="1"/>
    <n v="0.24"/>
    <n v="0.19700000000000001"/>
    <n v="0.65"/>
    <n v="0.41789999999999999"/>
    <n v="3"/>
    <n v="97"/>
    <n v="100"/>
    <x v="3"/>
  </r>
  <r>
    <n v="862"/>
    <d v="2011-02-08T00:00:00"/>
    <n v="1"/>
    <n v="0"/>
    <n v="2"/>
    <x v="8"/>
    <b v="0"/>
    <n v="2"/>
    <n v="1"/>
    <n v="0.24"/>
    <n v="0.19700000000000001"/>
    <n v="0.56000000000000005"/>
    <n v="0.49249999999999999"/>
    <n v="7"/>
    <n v="236"/>
    <n v="243"/>
    <x v="3"/>
  </r>
  <r>
    <n v="863"/>
    <d v="2011-02-08T00:00:00"/>
    <n v="1"/>
    <n v="0"/>
    <n v="2"/>
    <x v="9"/>
    <b v="0"/>
    <n v="2"/>
    <n v="1"/>
    <n v="0.24"/>
    <n v="0.19700000000000001"/>
    <n v="0.52"/>
    <n v="0.49249999999999999"/>
    <n v="7"/>
    <n v="128"/>
    <n v="135"/>
    <x v="3"/>
  </r>
  <r>
    <n v="864"/>
    <d v="2011-02-08T00:00:00"/>
    <n v="1"/>
    <n v="0"/>
    <n v="2"/>
    <x v="10"/>
    <b v="0"/>
    <n v="2"/>
    <n v="1"/>
    <n v="0.22"/>
    <n v="0.18179999999999999"/>
    <n v="0.47"/>
    <n v="0.55220000000000002"/>
    <n v="4"/>
    <n v="44"/>
    <n v="48"/>
    <x v="3"/>
  </r>
  <r>
    <n v="865"/>
    <d v="2011-02-08T00:00:00"/>
    <n v="1"/>
    <n v="0"/>
    <n v="2"/>
    <x v="11"/>
    <b v="0"/>
    <n v="2"/>
    <n v="1"/>
    <n v="0.22"/>
    <n v="0.18179999999999999"/>
    <n v="0.47"/>
    <n v="0.4627"/>
    <n v="1"/>
    <n v="49"/>
    <n v="50"/>
    <x v="3"/>
  </r>
  <r>
    <n v="866"/>
    <d v="2011-02-08T00:00:00"/>
    <n v="1"/>
    <n v="0"/>
    <n v="2"/>
    <x v="12"/>
    <b v="0"/>
    <n v="2"/>
    <n v="1"/>
    <n v="0.24"/>
    <n v="0.19700000000000001"/>
    <n v="0.38"/>
    <n v="0.49249999999999999"/>
    <n v="2"/>
    <n v="63"/>
    <n v="65"/>
    <x v="3"/>
  </r>
  <r>
    <n v="867"/>
    <d v="2011-02-08T00:00:00"/>
    <n v="1"/>
    <n v="0"/>
    <n v="2"/>
    <x v="13"/>
    <b v="0"/>
    <n v="2"/>
    <n v="2"/>
    <n v="0.24"/>
    <n v="0.19700000000000001"/>
    <n v="0.32"/>
    <n v="0.44779999999999998"/>
    <n v="2"/>
    <n v="48"/>
    <n v="50"/>
    <x v="3"/>
  </r>
  <r>
    <n v="868"/>
    <d v="2011-02-08T00:00:00"/>
    <n v="1"/>
    <n v="0"/>
    <n v="2"/>
    <x v="14"/>
    <b v="0"/>
    <n v="2"/>
    <n v="1"/>
    <n v="0.22"/>
    <n v="0.19700000000000001"/>
    <n v="0.37"/>
    <n v="0.41789999999999999"/>
    <n v="3"/>
    <n v="61"/>
    <n v="64"/>
    <x v="3"/>
  </r>
  <r>
    <n v="869"/>
    <d v="2011-02-08T00:00:00"/>
    <n v="1"/>
    <n v="0"/>
    <n v="2"/>
    <x v="15"/>
    <b v="0"/>
    <n v="2"/>
    <n v="1"/>
    <n v="0.22"/>
    <n v="0.19700000000000001"/>
    <n v="0.35"/>
    <n v="0.3881"/>
    <n v="6"/>
    <n v="45"/>
    <n v="51"/>
    <x v="3"/>
  </r>
  <r>
    <n v="870"/>
    <d v="2011-02-08T00:00:00"/>
    <n v="1"/>
    <n v="0"/>
    <n v="2"/>
    <x v="16"/>
    <b v="0"/>
    <n v="2"/>
    <n v="1"/>
    <n v="0.22"/>
    <n v="0.18179999999999999"/>
    <n v="0.35"/>
    <n v="0.52239999999999998"/>
    <n v="4"/>
    <n v="79"/>
    <n v="83"/>
    <x v="3"/>
  </r>
  <r>
    <n v="871"/>
    <d v="2011-02-08T00:00:00"/>
    <n v="1"/>
    <n v="0"/>
    <n v="2"/>
    <x v="17"/>
    <b v="0"/>
    <n v="2"/>
    <n v="1"/>
    <n v="0.22"/>
    <n v="0.18179999999999999"/>
    <n v="0.32"/>
    <n v="0.58209999999999995"/>
    <n v="4"/>
    <n v="172"/>
    <n v="176"/>
    <x v="3"/>
  </r>
  <r>
    <n v="872"/>
    <d v="2011-02-08T00:00:00"/>
    <n v="1"/>
    <n v="0"/>
    <n v="2"/>
    <x v="18"/>
    <b v="0"/>
    <n v="2"/>
    <n v="1"/>
    <n v="0.2"/>
    <n v="0.18179999999999999"/>
    <n v="0.32"/>
    <n v="0.3881"/>
    <n v="1"/>
    <n v="151"/>
    <n v="152"/>
    <x v="3"/>
  </r>
  <r>
    <n v="873"/>
    <d v="2011-02-08T00:00:00"/>
    <n v="1"/>
    <n v="0"/>
    <n v="2"/>
    <x v="19"/>
    <b v="0"/>
    <n v="2"/>
    <n v="1"/>
    <n v="0.16"/>
    <n v="0.1212"/>
    <n v="0.4"/>
    <n v="0.4627"/>
    <n v="1"/>
    <n v="100"/>
    <n v="101"/>
    <x v="3"/>
  </r>
  <r>
    <n v="874"/>
    <d v="2011-02-08T00:00:00"/>
    <n v="1"/>
    <n v="0"/>
    <n v="2"/>
    <x v="20"/>
    <b v="0"/>
    <n v="2"/>
    <n v="1"/>
    <n v="0.16"/>
    <n v="0.13639999999999999"/>
    <n v="0.4"/>
    <n v="0.32840000000000003"/>
    <n v="3"/>
    <n v="53"/>
    <n v="56"/>
    <x v="3"/>
  </r>
  <r>
    <n v="875"/>
    <d v="2011-02-08T00:00:00"/>
    <n v="1"/>
    <n v="0"/>
    <n v="2"/>
    <x v="21"/>
    <b v="0"/>
    <n v="2"/>
    <n v="1"/>
    <n v="0.14000000000000001"/>
    <n v="0.1061"/>
    <n v="0.33"/>
    <n v="0.4627"/>
    <n v="8"/>
    <n v="46"/>
    <n v="54"/>
    <x v="3"/>
  </r>
  <r>
    <n v="876"/>
    <d v="2011-02-08T00:00:00"/>
    <n v="1"/>
    <n v="0"/>
    <n v="2"/>
    <x v="22"/>
    <b v="0"/>
    <n v="2"/>
    <n v="1"/>
    <n v="0.12"/>
    <n v="0.1061"/>
    <n v="0.33"/>
    <n v="0.35820000000000002"/>
    <n v="0"/>
    <n v="29"/>
    <n v="29"/>
    <x v="3"/>
  </r>
  <r>
    <n v="877"/>
    <d v="2011-02-08T00:00:00"/>
    <n v="1"/>
    <n v="0"/>
    <n v="2"/>
    <x v="23"/>
    <b v="0"/>
    <n v="2"/>
    <n v="1"/>
    <n v="0.12"/>
    <n v="0.1061"/>
    <n v="0.33"/>
    <n v="0.32840000000000003"/>
    <n v="3"/>
    <n v="9"/>
    <n v="12"/>
    <x v="3"/>
  </r>
  <r>
    <n v="878"/>
    <d v="2011-02-09T00:00:00"/>
    <n v="1"/>
    <n v="0"/>
    <n v="2"/>
    <x v="0"/>
    <b v="0"/>
    <n v="3"/>
    <n v="1"/>
    <n v="0.1"/>
    <n v="7.5800000000000006E-2"/>
    <n v="0.36"/>
    <n v="0.35820000000000002"/>
    <n v="0"/>
    <n v="17"/>
    <n v="17"/>
    <x v="4"/>
  </r>
  <r>
    <n v="879"/>
    <d v="2011-02-09T00:00:00"/>
    <n v="1"/>
    <n v="0"/>
    <n v="2"/>
    <x v="1"/>
    <b v="0"/>
    <n v="3"/>
    <n v="1"/>
    <n v="0.1"/>
    <n v="0.1061"/>
    <n v="0.36"/>
    <n v="0.22389999999999999"/>
    <n v="0"/>
    <n v="7"/>
    <n v="7"/>
    <x v="4"/>
  </r>
  <r>
    <n v="880"/>
    <d v="2011-02-09T00:00:00"/>
    <n v="1"/>
    <n v="0"/>
    <n v="2"/>
    <x v="2"/>
    <b v="0"/>
    <n v="3"/>
    <n v="1"/>
    <n v="0.08"/>
    <n v="7.5800000000000006E-2"/>
    <n v="0.38"/>
    <n v="0.28360000000000002"/>
    <n v="1"/>
    <n v="2"/>
    <n v="3"/>
    <x v="4"/>
  </r>
  <r>
    <n v="881"/>
    <d v="2011-02-09T00:00:00"/>
    <n v="1"/>
    <n v="0"/>
    <n v="2"/>
    <x v="3"/>
    <b v="0"/>
    <n v="3"/>
    <n v="1"/>
    <n v="0.06"/>
    <n v="7.5800000000000006E-2"/>
    <n v="0.45"/>
    <n v="0.1343"/>
    <n v="0"/>
    <n v="2"/>
    <n v="2"/>
    <x v="4"/>
  </r>
  <r>
    <n v="882"/>
    <d v="2011-02-09T00:00:00"/>
    <n v="1"/>
    <n v="0"/>
    <n v="2"/>
    <x v="5"/>
    <b v="0"/>
    <n v="3"/>
    <n v="1"/>
    <n v="0.06"/>
    <n v="0.1061"/>
    <n v="0.45"/>
    <n v="0.1045"/>
    <n v="0"/>
    <n v="7"/>
    <n v="7"/>
    <x v="4"/>
  </r>
  <r>
    <n v="883"/>
    <d v="2011-02-09T00:00:00"/>
    <n v="1"/>
    <n v="0"/>
    <n v="2"/>
    <x v="6"/>
    <b v="0"/>
    <n v="3"/>
    <n v="1"/>
    <n v="0.06"/>
    <n v="0.1515"/>
    <n v="0.45"/>
    <n v="0"/>
    <n v="0"/>
    <n v="43"/>
    <n v="43"/>
    <x v="4"/>
  </r>
  <r>
    <n v="884"/>
    <d v="2011-02-09T00:00:00"/>
    <n v="1"/>
    <n v="0"/>
    <n v="2"/>
    <x v="7"/>
    <b v="0"/>
    <n v="3"/>
    <n v="1"/>
    <n v="0.06"/>
    <n v="0.1061"/>
    <n v="0.49"/>
    <n v="0.1045"/>
    <n v="4"/>
    <n v="95"/>
    <n v="99"/>
    <x v="4"/>
  </r>
  <r>
    <n v="885"/>
    <d v="2011-02-09T00:00:00"/>
    <n v="1"/>
    <n v="0"/>
    <n v="2"/>
    <x v="8"/>
    <b v="0"/>
    <n v="3"/>
    <n v="1"/>
    <n v="0.1"/>
    <n v="0.13639999999999999"/>
    <n v="0.42"/>
    <n v="0"/>
    <n v="1"/>
    <n v="198"/>
    <n v="199"/>
    <x v="4"/>
  </r>
  <r>
    <n v="886"/>
    <d v="2011-02-09T00:00:00"/>
    <n v="1"/>
    <n v="0"/>
    <n v="2"/>
    <x v="9"/>
    <b v="0"/>
    <n v="3"/>
    <n v="1"/>
    <n v="0.12"/>
    <n v="0.13639999999999999"/>
    <n v="0.39"/>
    <n v="0.16420000000000001"/>
    <n v="4"/>
    <n v="119"/>
    <n v="123"/>
    <x v="4"/>
  </r>
  <r>
    <n v="887"/>
    <d v="2011-02-09T00:00:00"/>
    <n v="1"/>
    <n v="0"/>
    <n v="2"/>
    <x v="10"/>
    <b v="0"/>
    <n v="3"/>
    <n v="1"/>
    <n v="0.14000000000000001"/>
    <n v="0.18179999999999999"/>
    <n v="0.36"/>
    <n v="0"/>
    <n v="8"/>
    <n v="51"/>
    <n v="59"/>
    <x v="4"/>
  </r>
  <r>
    <n v="888"/>
    <d v="2011-02-09T00:00:00"/>
    <n v="1"/>
    <n v="0"/>
    <n v="2"/>
    <x v="11"/>
    <b v="0"/>
    <n v="3"/>
    <n v="2"/>
    <n v="0.14000000000000001"/>
    <n v="0.1515"/>
    <n v="0.43"/>
    <n v="0.16420000000000001"/>
    <n v="1"/>
    <n v="40"/>
    <n v="41"/>
    <x v="4"/>
  </r>
  <r>
    <n v="889"/>
    <d v="2011-02-09T00:00:00"/>
    <n v="1"/>
    <n v="0"/>
    <n v="2"/>
    <x v="12"/>
    <b v="0"/>
    <n v="3"/>
    <n v="2"/>
    <n v="0.18"/>
    <n v="0.18179999999999999"/>
    <n v="0.4"/>
    <n v="0.22389999999999999"/>
    <n v="4"/>
    <n v="57"/>
    <n v="61"/>
    <x v="4"/>
  </r>
  <r>
    <n v="890"/>
    <d v="2011-02-09T00:00:00"/>
    <n v="1"/>
    <n v="0"/>
    <n v="2"/>
    <x v="13"/>
    <b v="0"/>
    <n v="3"/>
    <n v="1"/>
    <n v="0.18"/>
    <n v="0.16669999999999999"/>
    <n v="0.4"/>
    <n v="0.25369999999999998"/>
    <n v="2"/>
    <n v="67"/>
    <n v="69"/>
    <x v="4"/>
  </r>
  <r>
    <n v="891"/>
    <d v="2011-02-09T00:00:00"/>
    <n v="1"/>
    <n v="0"/>
    <n v="2"/>
    <x v="14"/>
    <b v="0"/>
    <n v="3"/>
    <n v="1"/>
    <n v="0.2"/>
    <n v="0.18179999999999999"/>
    <n v="0.34"/>
    <n v="0.29849999999999999"/>
    <n v="2"/>
    <n v="56"/>
    <n v="58"/>
    <x v="4"/>
  </r>
  <r>
    <n v="892"/>
    <d v="2011-02-09T00:00:00"/>
    <n v="1"/>
    <n v="0"/>
    <n v="2"/>
    <x v="15"/>
    <b v="0"/>
    <n v="3"/>
    <n v="2"/>
    <n v="0.2"/>
    <n v="0.18179999999999999"/>
    <n v="0.34"/>
    <n v="0.28360000000000002"/>
    <n v="3"/>
    <n v="61"/>
    <n v="64"/>
    <x v="4"/>
  </r>
  <r>
    <n v="893"/>
    <d v="2011-02-09T00:00:00"/>
    <n v="1"/>
    <n v="0"/>
    <n v="2"/>
    <x v="16"/>
    <b v="0"/>
    <n v="3"/>
    <n v="2"/>
    <n v="0.2"/>
    <n v="0.19700000000000001"/>
    <n v="0.37"/>
    <n v="0.25369999999999998"/>
    <n v="7"/>
    <n v="72"/>
    <n v="79"/>
    <x v="4"/>
  </r>
  <r>
    <n v="894"/>
    <d v="2011-02-09T00:00:00"/>
    <n v="1"/>
    <n v="0"/>
    <n v="2"/>
    <x v="17"/>
    <b v="0"/>
    <n v="3"/>
    <n v="2"/>
    <n v="0.2"/>
    <n v="0.19700000000000001"/>
    <n v="0.34"/>
    <n v="0.25369999999999998"/>
    <n v="9"/>
    <n v="157"/>
    <n v="166"/>
    <x v="4"/>
  </r>
  <r>
    <n v="895"/>
    <d v="2011-02-09T00:00:00"/>
    <n v="1"/>
    <n v="0"/>
    <n v="2"/>
    <x v="18"/>
    <b v="0"/>
    <n v="3"/>
    <n v="2"/>
    <n v="0.18"/>
    <n v="0.16669999999999999"/>
    <n v="0.47"/>
    <n v="0.29849999999999999"/>
    <n v="2"/>
    <n v="168"/>
    <n v="170"/>
    <x v="4"/>
  </r>
  <r>
    <n v="896"/>
    <d v="2011-02-09T00:00:00"/>
    <n v="1"/>
    <n v="0"/>
    <n v="2"/>
    <x v="19"/>
    <b v="0"/>
    <n v="3"/>
    <n v="3"/>
    <n v="0.14000000000000001"/>
    <n v="0.1212"/>
    <n v="0.86"/>
    <n v="0.25369999999999998"/>
    <n v="1"/>
    <n v="87"/>
    <n v="88"/>
    <x v="4"/>
  </r>
  <r>
    <n v="897"/>
    <d v="2011-02-09T00:00:00"/>
    <n v="1"/>
    <n v="0"/>
    <n v="2"/>
    <x v="20"/>
    <b v="0"/>
    <n v="3"/>
    <n v="3"/>
    <n v="0.14000000000000001"/>
    <n v="0.1515"/>
    <n v="0.86"/>
    <n v="0.16420000000000001"/>
    <n v="0"/>
    <n v="84"/>
    <n v="84"/>
    <x v="4"/>
  </r>
  <r>
    <n v="898"/>
    <d v="2011-02-09T00:00:00"/>
    <n v="1"/>
    <n v="0"/>
    <n v="2"/>
    <x v="21"/>
    <b v="0"/>
    <n v="3"/>
    <n v="2"/>
    <n v="0.14000000000000001"/>
    <n v="0.1515"/>
    <n v="0.86"/>
    <n v="0.16420000000000001"/>
    <n v="0"/>
    <n v="83"/>
    <n v="83"/>
    <x v="4"/>
  </r>
  <r>
    <n v="899"/>
    <d v="2011-02-09T00:00:00"/>
    <n v="1"/>
    <n v="0"/>
    <n v="2"/>
    <x v="22"/>
    <b v="0"/>
    <n v="3"/>
    <n v="3"/>
    <n v="0.16"/>
    <n v="0.16669999999999999"/>
    <n v="0.8"/>
    <n v="0.16420000000000001"/>
    <n v="4"/>
    <n v="42"/>
    <n v="46"/>
    <x v="4"/>
  </r>
  <r>
    <n v="900"/>
    <d v="2011-02-09T00:00:00"/>
    <n v="1"/>
    <n v="0"/>
    <n v="2"/>
    <x v="23"/>
    <b v="0"/>
    <n v="3"/>
    <n v="3"/>
    <n v="0.16"/>
    <n v="0.1515"/>
    <n v="0.8"/>
    <n v="0.19400000000000001"/>
    <n v="0"/>
    <n v="37"/>
    <n v="37"/>
    <x v="4"/>
  </r>
  <r>
    <n v="901"/>
    <d v="2011-02-10T00:00:00"/>
    <n v="1"/>
    <n v="0"/>
    <n v="2"/>
    <x v="0"/>
    <b v="0"/>
    <n v="4"/>
    <n v="3"/>
    <n v="0.14000000000000001"/>
    <n v="0.13639999999999999"/>
    <n v="0.86"/>
    <n v="0.19400000000000001"/>
    <n v="0"/>
    <n v="16"/>
    <n v="16"/>
    <x v="5"/>
  </r>
  <r>
    <n v="902"/>
    <d v="2011-02-10T00:00:00"/>
    <n v="1"/>
    <n v="0"/>
    <n v="2"/>
    <x v="1"/>
    <b v="0"/>
    <n v="4"/>
    <n v="3"/>
    <n v="0.14000000000000001"/>
    <n v="0.1515"/>
    <n v="0.8"/>
    <n v="0.1343"/>
    <n v="0"/>
    <n v="7"/>
    <n v="7"/>
    <x v="5"/>
  </r>
  <r>
    <n v="903"/>
    <d v="2011-02-10T00:00:00"/>
    <n v="1"/>
    <n v="0"/>
    <n v="2"/>
    <x v="2"/>
    <b v="0"/>
    <n v="4"/>
    <n v="3"/>
    <n v="0.14000000000000001"/>
    <n v="0.1515"/>
    <n v="0.8"/>
    <n v="0.1343"/>
    <n v="0"/>
    <n v="3"/>
    <n v="3"/>
    <x v="5"/>
  </r>
  <r>
    <n v="904"/>
    <d v="2011-02-10T00:00:00"/>
    <n v="1"/>
    <n v="0"/>
    <n v="2"/>
    <x v="4"/>
    <b v="0"/>
    <n v="4"/>
    <n v="2"/>
    <n v="0.14000000000000001"/>
    <n v="0.13639999999999999"/>
    <n v="0.59"/>
    <n v="0.22389999999999999"/>
    <n v="0"/>
    <n v="1"/>
    <n v="1"/>
    <x v="5"/>
  </r>
  <r>
    <n v="905"/>
    <d v="2011-02-10T00:00:00"/>
    <n v="1"/>
    <n v="0"/>
    <n v="2"/>
    <x v="5"/>
    <b v="0"/>
    <n v="4"/>
    <n v="2"/>
    <n v="0.12"/>
    <n v="0.1212"/>
    <n v="0.5"/>
    <n v="0.22389999999999999"/>
    <n v="0"/>
    <n v="6"/>
    <n v="6"/>
    <x v="5"/>
  </r>
  <r>
    <n v="906"/>
    <d v="2011-02-10T00:00:00"/>
    <n v="1"/>
    <n v="0"/>
    <n v="2"/>
    <x v="6"/>
    <b v="0"/>
    <n v="4"/>
    <n v="2"/>
    <n v="0.12"/>
    <n v="0.1212"/>
    <n v="0.54"/>
    <n v="0.28360000000000002"/>
    <n v="0"/>
    <n v="26"/>
    <n v="26"/>
    <x v="5"/>
  </r>
  <r>
    <n v="907"/>
    <d v="2011-02-10T00:00:00"/>
    <n v="1"/>
    <n v="0"/>
    <n v="2"/>
    <x v="7"/>
    <b v="0"/>
    <n v="4"/>
    <n v="1"/>
    <n v="0.1"/>
    <n v="7.5800000000000006E-2"/>
    <n v="0.5"/>
    <n v="0.41789999999999999"/>
    <n v="0"/>
    <n v="99"/>
    <n v="99"/>
    <x v="5"/>
  </r>
  <r>
    <n v="908"/>
    <d v="2011-02-10T00:00:00"/>
    <n v="1"/>
    <n v="0"/>
    <n v="2"/>
    <x v="8"/>
    <b v="0"/>
    <n v="4"/>
    <n v="1"/>
    <n v="0.1"/>
    <n v="7.5800000000000006E-2"/>
    <n v="0.49"/>
    <n v="0.32840000000000003"/>
    <n v="5"/>
    <n v="173"/>
    <n v="178"/>
    <x v="5"/>
  </r>
  <r>
    <n v="909"/>
    <d v="2011-02-10T00:00:00"/>
    <n v="1"/>
    <n v="0"/>
    <n v="2"/>
    <x v="9"/>
    <b v="0"/>
    <n v="4"/>
    <n v="1"/>
    <n v="0.12"/>
    <n v="0.1061"/>
    <n v="0.42"/>
    <n v="0.35820000000000002"/>
    <n v="1"/>
    <n v="121"/>
    <n v="122"/>
    <x v="5"/>
  </r>
  <r>
    <n v="910"/>
    <d v="2011-02-10T00:00:00"/>
    <n v="1"/>
    <n v="0"/>
    <n v="2"/>
    <x v="10"/>
    <b v="0"/>
    <n v="4"/>
    <n v="1"/>
    <n v="0.12"/>
    <n v="0.1061"/>
    <n v="0.42"/>
    <n v="0.29849999999999999"/>
    <n v="1"/>
    <n v="34"/>
    <n v="35"/>
    <x v="5"/>
  </r>
  <r>
    <n v="911"/>
    <d v="2011-02-10T00:00:00"/>
    <n v="1"/>
    <n v="0"/>
    <n v="2"/>
    <x v="11"/>
    <b v="0"/>
    <n v="4"/>
    <n v="1"/>
    <n v="0.14000000000000001"/>
    <n v="0.1212"/>
    <n v="0.39"/>
    <n v="0.35820000000000002"/>
    <n v="1"/>
    <n v="44"/>
    <n v="45"/>
    <x v="5"/>
  </r>
  <r>
    <n v="912"/>
    <d v="2011-02-10T00:00:00"/>
    <n v="1"/>
    <n v="0"/>
    <n v="2"/>
    <x v="12"/>
    <b v="0"/>
    <n v="4"/>
    <n v="1"/>
    <n v="0.16"/>
    <n v="0.13639999999999999"/>
    <n v="0.34"/>
    <n v="0.3881"/>
    <n v="4"/>
    <n v="65"/>
    <n v="69"/>
    <x v="5"/>
  </r>
  <r>
    <n v="913"/>
    <d v="2011-02-10T00:00:00"/>
    <n v="1"/>
    <n v="0"/>
    <n v="2"/>
    <x v="13"/>
    <b v="0"/>
    <n v="4"/>
    <n v="1"/>
    <n v="0.18"/>
    <n v="0.16669999999999999"/>
    <n v="0.28999999999999998"/>
    <n v="0.29849999999999999"/>
    <n v="3"/>
    <n v="59"/>
    <n v="62"/>
    <x v="5"/>
  </r>
  <r>
    <n v="914"/>
    <d v="2011-02-10T00:00:00"/>
    <n v="1"/>
    <n v="0"/>
    <n v="2"/>
    <x v="14"/>
    <b v="0"/>
    <n v="4"/>
    <n v="1"/>
    <n v="0.2"/>
    <n v="0.18179999999999999"/>
    <n v="0.27"/>
    <n v="0.28360000000000002"/>
    <n v="6"/>
    <n v="42"/>
    <n v="48"/>
    <x v="5"/>
  </r>
  <r>
    <n v="915"/>
    <d v="2011-02-10T00:00:00"/>
    <n v="1"/>
    <n v="0"/>
    <n v="2"/>
    <x v="15"/>
    <b v="0"/>
    <n v="4"/>
    <n v="1"/>
    <n v="0.2"/>
    <n v="0.19700000000000001"/>
    <n v="0.25"/>
    <n v="0.25369999999999998"/>
    <n v="0"/>
    <n v="50"/>
    <n v="50"/>
    <x v="5"/>
  </r>
  <r>
    <n v="916"/>
    <d v="2011-02-10T00:00:00"/>
    <n v="1"/>
    <n v="0"/>
    <n v="2"/>
    <x v="16"/>
    <b v="0"/>
    <n v="4"/>
    <n v="1"/>
    <n v="0.2"/>
    <n v="0.18179999999999999"/>
    <n v="0.27"/>
    <n v="0.29849999999999999"/>
    <n v="4"/>
    <n v="76"/>
    <n v="80"/>
    <x v="5"/>
  </r>
  <r>
    <n v="917"/>
    <d v="2011-02-10T00:00:00"/>
    <n v="1"/>
    <n v="0"/>
    <n v="2"/>
    <x v="17"/>
    <b v="0"/>
    <n v="4"/>
    <n v="1"/>
    <n v="0.18"/>
    <n v="0.18179999999999999"/>
    <n v="0.26"/>
    <n v="0.19400000000000001"/>
    <n v="6"/>
    <n v="159"/>
    <n v="165"/>
    <x v="5"/>
  </r>
  <r>
    <n v="918"/>
    <d v="2011-02-10T00:00:00"/>
    <n v="1"/>
    <n v="0"/>
    <n v="2"/>
    <x v="18"/>
    <b v="0"/>
    <n v="4"/>
    <n v="1"/>
    <n v="0.16"/>
    <n v="0.18179999999999999"/>
    <n v="0.28000000000000003"/>
    <n v="0.1343"/>
    <n v="3"/>
    <n v="157"/>
    <n v="160"/>
    <x v="5"/>
  </r>
  <r>
    <n v="919"/>
    <d v="2011-02-10T00:00:00"/>
    <n v="1"/>
    <n v="0"/>
    <n v="2"/>
    <x v="19"/>
    <b v="0"/>
    <n v="4"/>
    <n v="1"/>
    <n v="0.14000000000000001"/>
    <n v="0.16669999999999999"/>
    <n v="0.28000000000000003"/>
    <n v="0.1045"/>
    <n v="2"/>
    <n v="110"/>
    <n v="112"/>
    <x v="5"/>
  </r>
  <r>
    <n v="920"/>
    <d v="2011-02-10T00:00:00"/>
    <n v="1"/>
    <n v="0"/>
    <n v="2"/>
    <x v="20"/>
    <b v="0"/>
    <n v="4"/>
    <n v="1"/>
    <n v="0.14000000000000001"/>
    <n v="0.18179999999999999"/>
    <n v="0.31"/>
    <n v="8.9599999999999999E-2"/>
    <n v="4"/>
    <n v="93"/>
    <n v="97"/>
    <x v="5"/>
  </r>
  <r>
    <n v="921"/>
    <d v="2011-02-10T00:00:00"/>
    <n v="1"/>
    <n v="0"/>
    <n v="2"/>
    <x v="21"/>
    <b v="0"/>
    <n v="4"/>
    <n v="1"/>
    <n v="0.14000000000000001"/>
    <n v="0.21210000000000001"/>
    <n v="0.39"/>
    <n v="0"/>
    <n v="2"/>
    <n v="70"/>
    <n v="72"/>
    <x v="5"/>
  </r>
  <r>
    <n v="922"/>
    <d v="2011-02-10T00:00:00"/>
    <n v="1"/>
    <n v="0"/>
    <n v="2"/>
    <x v="22"/>
    <b v="0"/>
    <n v="4"/>
    <n v="1"/>
    <n v="0.12"/>
    <n v="0.19700000000000001"/>
    <n v="0.39"/>
    <n v="0"/>
    <n v="4"/>
    <n v="47"/>
    <n v="51"/>
    <x v="5"/>
  </r>
  <r>
    <n v="923"/>
    <d v="2011-02-10T00:00:00"/>
    <n v="1"/>
    <n v="0"/>
    <n v="2"/>
    <x v="23"/>
    <b v="0"/>
    <n v="4"/>
    <n v="1"/>
    <n v="0.12"/>
    <n v="0.1515"/>
    <n v="0.42"/>
    <n v="0.1045"/>
    <n v="1"/>
    <n v="33"/>
    <n v="34"/>
    <x v="5"/>
  </r>
  <r>
    <n v="924"/>
    <d v="2011-02-11T00:00:00"/>
    <n v="1"/>
    <n v="0"/>
    <n v="2"/>
    <x v="0"/>
    <b v="0"/>
    <n v="5"/>
    <n v="1"/>
    <n v="0.1"/>
    <n v="0.13639999999999999"/>
    <n v="0.49"/>
    <n v="0.1045"/>
    <n v="2"/>
    <n v="12"/>
    <n v="14"/>
    <x v="6"/>
  </r>
  <r>
    <n v="925"/>
    <d v="2011-02-11T00:00:00"/>
    <n v="1"/>
    <n v="0"/>
    <n v="2"/>
    <x v="1"/>
    <b v="0"/>
    <n v="5"/>
    <n v="1"/>
    <n v="0.1"/>
    <n v="0.13639999999999999"/>
    <n v="0.54"/>
    <n v="8.9599999999999999E-2"/>
    <n v="1"/>
    <n v="6"/>
    <n v="7"/>
    <x v="6"/>
  </r>
  <r>
    <n v="926"/>
    <d v="2011-02-11T00:00:00"/>
    <n v="1"/>
    <n v="0"/>
    <n v="2"/>
    <x v="2"/>
    <b v="0"/>
    <n v="5"/>
    <n v="1"/>
    <n v="0.1"/>
    <n v="0.13639999999999999"/>
    <n v="0.54"/>
    <n v="8.9599999999999999E-2"/>
    <n v="0"/>
    <n v="3"/>
    <n v="3"/>
    <x v="6"/>
  </r>
  <r>
    <n v="927"/>
    <d v="2011-02-11T00:00:00"/>
    <n v="1"/>
    <n v="0"/>
    <n v="2"/>
    <x v="5"/>
    <b v="0"/>
    <n v="5"/>
    <n v="1"/>
    <n v="0.08"/>
    <n v="0.1212"/>
    <n v="0.63"/>
    <n v="8.9599999999999999E-2"/>
    <n v="0"/>
    <n v="4"/>
    <n v="4"/>
    <x v="6"/>
  </r>
  <r>
    <n v="928"/>
    <d v="2011-02-11T00:00:00"/>
    <n v="1"/>
    <n v="0"/>
    <n v="2"/>
    <x v="6"/>
    <b v="0"/>
    <n v="5"/>
    <n v="1"/>
    <n v="0.1"/>
    <n v="0.18179999999999999"/>
    <n v="0.68"/>
    <n v="0"/>
    <n v="1"/>
    <n v="23"/>
    <n v="24"/>
    <x v="6"/>
  </r>
  <r>
    <n v="929"/>
    <d v="2011-02-11T00:00:00"/>
    <n v="1"/>
    <n v="0"/>
    <n v="2"/>
    <x v="7"/>
    <b v="0"/>
    <n v="5"/>
    <n v="1"/>
    <n v="0.08"/>
    <n v="0.16669999999999999"/>
    <n v="0.73"/>
    <n v="0"/>
    <n v="1"/>
    <n v="73"/>
    <n v="74"/>
    <x v="6"/>
  </r>
  <r>
    <n v="930"/>
    <d v="2011-02-11T00:00:00"/>
    <n v="1"/>
    <n v="0"/>
    <n v="2"/>
    <x v="8"/>
    <b v="0"/>
    <n v="5"/>
    <n v="1"/>
    <n v="0.1"/>
    <n v="0.1212"/>
    <n v="0.74"/>
    <n v="0.16420000000000001"/>
    <n v="4"/>
    <n v="212"/>
    <n v="216"/>
    <x v="6"/>
  </r>
  <r>
    <n v="931"/>
    <d v="2011-02-11T00:00:00"/>
    <n v="1"/>
    <n v="0"/>
    <n v="2"/>
    <x v="9"/>
    <b v="0"/>
    <n v="5"/>
    <n v="1"/>
    <n v="0.12"/>
    <n v="0.1212"/>
    <n v="0.74"/>
    <n v="0.22389999999999999"/>
    <n v="8"/>
    <n v="132"/>
    <n v="140"/>
    <x v="6"/>
  </r>
  <r>
    <n v="932"/>
    <d v="2011-02-11T00:00:00"/>
    <n v="1"/>
    <n v="0"/>
    <n v="2"/>
    <x v="10"/>
    <b v="0"/>
    <n v="5"/>
    <n v="1"/>
    <n v="0.14000000000000001"/>
    <n v="0.13639999999999999"/>
    <n v="0.69"/>
    <n v="0.19400000000000001"/>
    <n v="5"/>
    <n v="39"/>
    <n v="44"/>
    <x v="6"/>
  </r>
  <r>
    <n v="933"/>
    <d v="2011-02-11T00:00:00"/>
    <n v="1"/>
    <n v="0"/>
    <n v="2"/>
    <x v="11"/>
    <b v="0"/>
    <n v="5"/>
    <n v="1"/>
    <n v="0.22"/>
    <n v="0.2273"/>
    <n v="0.47"/>
    <n v="0.1343"/>
    <n v="12"/>
    <n v="52"/>
    <n v="64"/>
    <x v="6"/>
  </r>
  <r>
    <n v="934"/>
    <d v="2011-02-11T00:00:00"/>
    <n v="1"/>
    <n v="0"/>
    <n v="2"/>
    <x v="12"/>
    <b v="0"/>
    <n v="5"/>
    <n v="1"/>
    <n v="0.22"/>
    <n v="0.2273"/>
    <n v="0.47"/>
    <n v="0.1343"/>
    <n v="7"/>
    <n v="64"/>
    <n v="71"/>
    <x v="6"/>
  </r>
  <r>
    <n v="935"/>
    <d v="2011-02-11T00:00:00"/>
    <n v="1"/>
    <n v="0"/>
    <n v="2"/>
    <x v="13"/>
    <b v="0"/>
    <n v="5"/>
    <n v="1"/>
    <n v="0.24"/>
    <n v="0.2273"/>
    <n v="0.35"/>
    <n v="0.19400000000000001"/>
    <n v="21"/>
    <n v="89"/>
    <n v="110"/>
    <x v="6"/>
  </r>
  <r>
    <n v="936"/>
    <d v="2011-02-11T00:00:00"/>
    <n v="1"/>
    <n v="0"/>
    <n v="2"/>
    <x v="14"/>
    <b v="0"/>
    <n v="5"/>
    <n v="1"/>
    <n v="0.3"/>
    <n v="0.28789999999999999"/>
    <n v="0.26"/>
    <n v="0.25369999999999998"/>
    <n v="17"/>
    <n v="67"/>
    <n v="84"/>
    <x v="6"/>
  </r>
  <r>
    <n v="937"/>
    <d v="2011-02-11T00:00:00"/>
    <n v="1"/>
    <n v="0"/>
    <n v="2"/>
    <x v="15"/>
    <b v="0"/>
    <n v="5"/>
    <n v="1"/>
    <n v="0.32"/>
    <n v="0.31819999999999998"/>
    <n v="0.21"/>
    <n v="0.16420000000000001"/>
    <n v="12"/>
    <n v="62"/>
    <n v="74"/>
    <x v="6"/>
  </r>
  <r>
    <n v="938"/>
    <d v="2011-02-11T00:00:00"/>
    <n v="1"/>
    <n v="0"/>
    <n v="2"/>
    <x v="16"/>
    <b v="0"/>
    <n v="5"/>
    <n v="1"/>
    <n v="0.3"/>
    <n v="0.28789999999999999"/>
    <n v="0.28000000000000003"/>
    <n v="0.19400000000000001"/>
    <n v="14"/>
    <n v="111"/>
    <n v="125"/>
    <x v="6"/>
  </r>
  <r>
    <n v="939"/>
    <d v="2011-02-11T00:00:00"/>
    <n v="1"/>
    <n v="0"/>
    <n v="2"/>
    <x v="17"/>
    <b v="0"/>
    <n v="5"/>
    <n v="1"/>
    <n v="0.3"/>
    <n v="0.33329999999999999"/>
    <n v="0.24"/>
    <n v="0"/>
    <n v="18"/>
    <n v="193"/>
    <n v="211"/>
    <x v="6"/>
  </r>
  <r>
    <n v="940"/>
    <d v="2011-02-11T00:00:00"/>
    <n v="1"/>
    <n v="0"/>
    <n v="2"/>
    <x v="18"/>
    <b v="0"/>
    <n v="5"/>
    <n v="1"/>
    <n v="0.28000000000000003"/>
    <n v="0.31819999999999998"/>
    <n v="0.28000000000000003"/>
    <n v="0"/>
    <n v="9"/>
    <n v="165"/>
    <n v="174"/>
    <x v="6"/>
  </r>
  <r>
    <n v="941"/>
    <d v="2011-02-11T00:00:00"/>
    <n v="1"/>
    <n v="0"/>
    <n v="2"/>
    <x v="19"/>
    <b v="0"/>
    <n v="5"/>
    <n v="1"/>
    <n v="0.26"/>
    <n v="0.30299999999999999"/>
    <n v="0.33"/>
    <n v="0"/>
    <n v="7"/>
    <n v="94"/>
    <n v="101"/>
    <x v="6"/>
  </r>
  <r>
    <n v="942"/>
    <d v="2011-02-11T00:00:00"/>
    <n v="1"/>
    <n v="0"/>
    <n v="2"/>
    <x v="20"/>
    <b v="0"/>
    <n v="5"/>
    <n v="1"/>
    <n v="0.22"/>
    <n v="0.2273"/>
    <n v="0.55000000000000004"/>
    <n v="0.1343"/>
    <n v="2"/>
    <n v="61"/>
    <n v="63"/>
    <x v="6"/>
  </r>
  <r>
    <n v="943"/>
    <d v="2011-02-11T00:00:00"/>
    <n v="1"/>
    <n v="0"/>
    <n v="2"/>
    <x v="21"/>
    <b v="0"/>
    <n v="5"/>
    <n v="1"/>
    <n v="0.2"/>
    <n v="0.21210000000000001"/>
    <n v="0.59"/>
    <n v="0.1343"/>
    <n v="1"/>
    <n v="46"/>
    <n v="47"/>
    <x v="6"/>
  </r>
  <r>
    <n v="944"/>
    <d v="2011-02-11T00:00:00"/>
    <n v="1"/>
    <n v="0"/>
    <n v="2"/>
    <x v="22"/>
    <b v="0"/>
    <n v="5"/>
    <n v="1"/>
    <n v="0.2"/>
    <n v="0.2273"/>
    <n v="0.64"/>
    <n v="8.9599999999999999E-2"/>
    <n v="2"/>
    <n v="41"/>
    <n v="43"/>
    <x v="6"/>
  </r>
  <r>
    <n v="945"/>
    <d v="2011-02-11T00:00:00"/>
    <n v="1"/>
    <n v="0"/>
    <n v="2"/>
    <x v="23"/>
    <b v="0"/>
    <n v="5"/>
    <n v="1"/>
    <n v="0.18"/>
    <n v="0.2424"/>
    <n v="0.69"/>
    <n v="0"/>
    <n v="5"/>
    <n v="48"/>
    <n v="53"/>
    <x v="6"/>
  </r>
  <r>
    <n v="946"/>
    <d v="2011-02-12T00:00:00"/>
    <n v="1"/>
    <n v="0"/>
    <n v="2"/>
    <x v="0"/>
    <b v="0"/>
    <n v="6"/>
    <n v="1"/>
    <n v="0.16"/>
    <n v="0.19700000000000001"/>
    <n v="0.69"/>
    <n v="8.9599999999999999E-2"/>
    <n v="3"/>
    <n v="27"/>
    <n v="30"/>
    <x v="0"/>
  </r>
  <r>
    <n v="947"/>
    <d v="2011-02-12T00:00:00"/>
    <n v="1"/>
    <n v="0"/>
    <n v="2"/>
    <x v="1"/>
    <b v="0"/>
    <n v="6"/>
    <n v="1"/>
    <n v="0.14000000000000001"/>
    <n v="0.21210000000000001"/>
    <n v="0.86"/>
    <n v="0"/>
    <n v="2"/>
    <n v="22"/>
    <n v="24"/>
    <x v="0"/>
  </r>
  <r>
    <n v="948"/>
    <d v="2011-02-12T00:00:00"/>
    <n v="1"/>
    <n v="0"/>
    <n v="2"/>
    <x v="2"/>
    <b v="0"/>
    <n v="6"/>
    <n v="1"/>
    <n v="0.14000000000000001"/>
    <n v="0.21210000000000001"/>
    <n v="0.8"/>
    <n v="0"/>
    <n v="2"/>
    <n v="13"/>
    <n v="15"/>
    <x v="0"/>
  </r>
  <r>
    <n v="949"/>
    <d v="2011-02-12T00:00:00"/>
    <n v="1"/>
    <n v="0"/>
    <n v="2"/>
    <x v="3"/>
    <b v="0"/>
    <n v="6"/>
    <n v="1"/>
    <n v="0.12"/>
    <n v="0.19700000000000001"/>
    <n v="0.8"/>
    <n v="0"/>
    <n v="3"/>
    <n v="7"/>
    <n v="10"/>
    <x v="0"/>
  </r>
  <r>
    <n v="950"/>
    <d v="2011-02-12T00:00:00"/>
    <n v="1"/>
    <n v="0"/>
    <n v="2"/>
    <x v="4"/>
    <b v="0"/>
    <n v="6"/>
    <n v="1"/>
    <n v="0.12"/>
    <n v="0.16669999999999999"/>
    <n v="0.74"/>
    <n v="8.9599999999999999E-2"/>
    <n v="0"/>
    <n v="4"/>
    <n v="4"/>
    <x v="0"/>
  </r>
  <r>
    <n v="951"/>
    <d v="2011-02-12T00:00:00"/>
    <n v="1"/>
    <n v="0"/>
    <n v="2"/>
    <x v="5"/>
    <b v="0"/>
    <n v="6"/>
    <n v="1"/>
    <n v="0.12"/>
    <n v="0.16669999999999999"/>
    <n v="0.74"/>
    <n v="8.9599999999999999E-2"/>
    <n v="0"/>
    <n v="1"/>
    <n v="1"/>
    <x v="0"/>
  </r>
  <r>
    <n v="952"/>
    <d v="2011-02-12T00:00:00"/>
    <n v="1"/>
    <n v="0"/>
    <n v="2"/>
    <x v="6"/>
    <b v="0"/>
    <n v="6"/>
    <n v="1"/>
    <n v="0.12"/>
    <n v="0.13639999999999999"/>
    <n v="0.93"/>
    <n v="0.19400000000000001"/>
    <n v="1"/>
    <n v="1"/>
    <n v="2"/>
    <x v="0"/>
  </r>
  <r>
    <n v="953"/>
    <d v="2011-02-12T00:00:00"/>
    <n v="1"/>
    <n v="0"/>
    <n v="2"/>
    <x v="7"/>
    <b v="0"/>
    <n v="6"/>
    <n v="1"/>
    <n v="0.12"/>
    <n v="0.1515"/>
    <n v="0.8"/>
    <n v="0.1045"/>
    <n v="2"/>
    <n v="9"/>
    <n v="11"/>
    <x v="0"/>
  </r>
  <r>
    <n v="954"/>
    <d v="2011-02-12T00:00:00"/>
    <n v="1"/>
    <n v="0"/>
    <n v="2"/>
    <x v="8"/>
    <b v="0"/>
    <n v="6"/>
    <n v="1"/>
    <n v="0.14000000000000001"/>
    <n v="0.1515"/>
    <n v="0.86"/>
    <n v="0.1343"/>
    <n v="2"/>
    <n v="28"/>
    <n v="30"/>
    <x v="0"/>
  </r>
  <r>
    <n v="955"/>
    <d v="2011-02-12T00:00:00"/>
    <n v="1"/>
    <n v="0"/>
    <n v="2"/>
    <x v="9"/>
    <b v="0"/>
    <n v="6"/>
    <n v="1"/>
    <n v="0.16"/>
    <n v="0.18179999999999999"/>
    <n v="0.64"/>
    <n v="0.1343"/>
    <n v="5"/>
    <n v="38"/>
    <n v="43"/>
    <x v="0"/>
  </r>
  <r>
    <n v="956"/>
    <d v="2011-02-12T00:00:00"/>
    <n v="1"/>
    <n v="0"/>
    <n v="2"/>
    <x v="10"/>
    <b v="0"/>
    <n v="6"/>
    <n v="1"/>
    <n v="0.22"/>
    <n v="0.21210000000000001"/>
    <n v="0.41"/>
    <n v="0.25369999999999998"/>
    <n v="13"/>
    <n v="71"/>
    <n v="84"/>
    <x v="0"/>
  </r>
  <r>
    <n v="957"/>
    <d v="2011-02-12T00:00:00"/>
    <n v="1"/>
    <n v="0"/>
    <n v="2"/>
    <x v="11"/>
    <b v="0"/>
    <n v="6"/>
    <n v="1"/>
    <n v="0.3"/>
    <n v="0.2727"/>
    <n v="0.28000000000000003"/>
    <n v="0.32840000000000003"/>
    <n v="30"/>
    <n v="84"/>
    <n v="114"/>
    <x v="0"/>
  </r>
  <r>
    <n v="958"/>
    <d v="2011-02-12T00:00:00"/>
    <n v="1"/>
    <n v="0"/>
    <n v="2"/>
    <x v="12"/>
    <b v="0"/>
    <n v="6"/>
    <n v="1"/>
    <n v="0.3"/>
    <n v="0.2727"/>
    <n v="0.39"/>
    <n v="0.4627"/>
    <n v="27"/>
    <n v="93"/>
    <n v="120"/>
    <x v="0"/>
  </r>
  <r>
    <n v="959"/>
    <d v="2011-02-12T00:00:00"/>
    <n v="1"/>
    <n v="0"/>
    <n v="2"/>
    <x v="13"/>
    <b v="0"/>
    <n v="6"/>
    <n v="1"/>
    <n v="0.3"/>
    <n v="0.2727"/>
    <n v="0.39"/>
    <n v="0.41789999999999999"/>
    <n v="32"/>
    <n v="103"/>
    <n v="135"/>
    <x v="0"/>
  </r>
  <r>
    <n v="960"/>
    <d v="2011-02-12T00:00:00"/>
    <n v="1"/>
    <n v="0"/>
    <n v="2"/>
    <x v="14"/>
    <b v="0"/>
    <n v="6"/>
    <n v="1"/>
    <n v="0.34"/>
    <n v="0.31819999999999998"/>
    <n v="0.31"/>
    <n v="0.28360000000000002"/>
    <n v="30"/>
    <n v="90"/>
    <n v="120"/>
    <x v="0"/>
  </r>
  <r>
    <n v="961"/>
    <d v="2011-02-12T00:00:00"/>
    <n v="1"/>
    <n v="0"/>
    <n v="2"/>
    <x v="15"/>
    <b v="0"/>
    <n v="6"/>
    <n v="1"/>
    <n v="0.34"/>
    <n v="0.30299999999999999"/>
    <n v="0.28999999999999998"/>
    <n v="0.41789999999999999"/>
    <n v="47"/>
    <n v="127"/>
    <n v="174"/>
    <x v="0"/>
  </r>
  <r>
    <n v="962"/>
    <d v="2011-02-12T00:00:00"/>
    <n v="1"/>
    <n v="0"/>
    <n v="2"/>
    <x v="16"/>
    <b v="0"/>
    <n v="6"/>
    <n v="1"/>
    <n v="0.34"/>
    <n v="0.30299999999999999"/>
    <n v="0.28999999999999998"/>
    <n v="0.41789999999999999"/>
    <n v="42"/>
    <n v="103"/>
    <n v="145"/>
    <x v="0"/>
  </r>
  <r>
    <n v="963"/>
    <d v="2011-02-12T00:00:00"/>
    <n v="1"/>
    <n v="0"/>
    <n v="2"/>
    <x v="17"/>
    <b v="0"/>
    <n v="6"/>
    <n v="1"/>
    <n v="0.32"/>
    <n v="0.28789999999999999"/>
    <n v="0.31"/>
    <n v="0.52239999999999998"/>
    <n v="24"/>
    <n v="113"/>
    <n v="137"/>
    <x v="0"/>
  </r>
  <r>
    <n v="964"/>
    <d v="2011-02-12T00:00:00"/>
    <n v="1"/>
    <n v="0"/>
    <n v="2"/>
    <x v="18"/>
    <b v="0"/>
    <n v="6"/>
    <n v="1"/>
    <n v="0.28000000000000003"/>
    <n v="0.2576"/>
    <n v="0.38"/>
    <n v="0.32840000000000003"/>
    <n v="4"/>
    <n v="60"/>
    <n v="64"/>
    <x v="0"/>
  </r>
  <r>
    <n v="965"/>
    <d v="2011-02-12T00:00:00"/>
    <n v="1"/>
    <n v="0"/>
    <n v="2"/>
    <x v="19"/>
    <b v="0"/>
    <n v="6"/>
    <n v="1"/>
    <n v="0.28000000000000003"/>
    <n v="0.2727"/>
    <n v="0.38"/>
    <n v="0.16420000000000001"/>
    <n v="2"/>
    <n v="39"/>
    <n v="41"/>
    <x v="0"/>
  </r>
  <r>
    <n v="966"/>
    <d v="2011-02-12T00:00:00"/>
    <n v="1"/>
    <n v="0"/>
    <n v="2"/>
    <x v="20"/>
    <b v="0"/>
    <n v="6"/>
    <n v="1"/>
    <n v="0.26"/>
    <n v="0.2576"/>
    <n v="0.41"/>
    <n v="0.22389999999999999"/>
    <n v="1"/>
    <n v="39"/>
    <n v="40"/>
    <x v="0"/>
  </r>
  <r>
    <n v="967"/>
    <d v="2011-02-12T00:00:00"/>
    <n v="1"/>
    <n v="0"/>
    <n v="2"/>
    <x v="21"/>
    <b v="0"/>
    <n v="6"/>
    <n v="1"/>
    <n v="0.26"/>
    <n v="0.30299999999999999"/>
    <n v="0.41"/>
    <n v="0"/>
    <n v="9"/>
    <n v="42"/>
    <n v="51"/>
    <x v="0"/>
  </r>
  <r>
    <n v="968"/>
    <d v="2011-02-12T00:00:00"/>
    <n v="1"/>
    <n v="0"/>
    <n v="2"/>
    <x v="22"/>
    <b v="0"/>
    <n v="6"/>
    <n v="1"/>
    <n v="0.24"/>
    <n v="0.2576"/>
    <n v="0.44"/>
    <n v="8.9599999999999999E-2"/>
    <n v="6"/>
    <n v="39"/>
    <n v="45"/>
    <x v="0"/>
  </r>
  <r>
    <n v="969"/>
    <d v="2011-02-12T00:00:00"/>
    <n v="1"/>
    <n v="0"/>
    <n v="2"/>
    <x v="23"/>
    <b v="0"/>
    <n v="6"/>
    <n v="1"/>
    <n v="0.22"/>
    <n v="0.2273"/>
    <n v="0.51"/>
    <n v="0.1343"/>
    <n v="1"/>
    <n v="31"/>
    <n v="32"/>
    <x v="0"/>
  </r>
  <r>
    <n v="970"/>
    <d v="2011-02-13T00:00:00"/>
    <n v="1"/>
    <n v="0"/>
    <n v="2"/>
    <x v="0"/>
    <b v="0"/>
    <n v="0"/>
    <n v="1"/>
    <n v="0.2"/>
    <n v="0.2273"/>
    <n v="0.64"/>
    <n v="0.1045"/>
    <n v="5"/>
    <n v="34"/>
    <n v="39"/>
    <x v="1"/>
  </r>
  <r>
    <n v="971"/>
    <d v="2011-02-13T00:00:00"/>
    <n v="1"/>
    <n v="0"/>
    <n v="2"/>
    <x v="1"/>
    <b v="0"/>
    <n v="0"/>
    <n v="1"/>
    <n v="0.2"/>
    <n v="0.2273"/>
    <n v="0.59"/>
    <n v="8.9599999999999999E-2"/>
    <n v="1"/>
    <n v="23"/>
    <n v="24"/>
    <x v="1"/>
  </r>
  <r>
    <n v="972"/>
    <d v="2011-02-13T00:00:00"/>
    <n v="1"/>
    <n v="0"/>
    <n v="2"/>
    <x v="2"/>
    <b v="0"/>
    <n v="0"/>
    <n v="2"/>
    <n v="0.2"/>
    <n v="0.2273"/>
    <n v="0.75"/>
    <n v="8.9599999999999999E-2"/>
    <n v="1"/>
    <n v="19"/>
    <n v="20"/>
    <x v="1"/>
  </r>
  <r>
    <n v="973"/>
    <d v="2011-02-13T00:00:00"/>
    <n v="1"/>
    <n v="0"/>
    <n v="2"/>
    <x v="3"/>
    <b v="0"/>
    <n v="0"/>
    <n v="2"/>
    <n v="0.2"/>
    <n v="0.2273"/>
    <n v="0.69"/>
    <n v="0.1045"/>
    <n v="4"/>
    <n v="8"/>
    <n v="12"/>
    <x v="1"/>
  </r>
  <r>
    <n v="974"/>
    <d v="2011-02-13T00:00:00"/>
    <n v="1"/>
    <n v="0"/>
    <n v="2"/>
    <x v="4"/>
    <b v="0"/>
    <n v="0"/>
    <n v="2"/>
    <n v="0.2"/>
    <n v="0.21210000000000001"/>
    <n v="0.69"/>
    <n v="0.16420000000000001"/>
    <n v="0"/>
    <n v="2"/>
    <n v="2"/>
    <x v="1"/>
  </r>
  <r>
    <n v="975"/>
    <d v="2011-02-13T00:00:00"/>
    <n v="1"/>
    <n v="0"/>
    <n v="2"/>
    <x v="6"/>
    <b v="0"/>
    <n v="0"/>
    <n v="2"/>
    <n v="0.2"/>
    <n v="0.21210000000000001"/>
    <n v="0.69"/>
    <n v="0.1343"/>
    <n v="2"/>
    <n v="3"/>
    <n v="5"/>
    <x v="1"/>
  </r>
  <r>
    <n v="976"/>
    <d v="2011-02-13T00:00:00"/>
    <n v="1"/>
    <n v="0"/>
    <n v="2"/>
    <x v="7"/>
    <b v="0"/>
    <n v="0"/>
    <n v="2"/>
    <n v="0.22"/>
    <n v="0.2727"/>
    <n v="0.55000000000000004"/>
    <n v="0"/>
    <n v="0"/>
    <n v="3"/>
    <n v="3"/>
    <x v="1"/>
  </r>
  <r>
    <n v="977"/>
    <d v="2011-02-13T00:00:00"/>
    <n v="1"/>
    <n v="0"/>
    <n v="2"/>
    <x v="8"/>
    <b v="0"/>
    <n v="0"/>
    <n v="2"/>
    <n v="0.22"/>
    <n v="0.2273"/>
    <n v="0.64"/>
    <n v="0.19400000000000001"/>
    <n v="1"/>
    <n v="11"/>
    <n v="12"/>
    <x v="1"/>
  </r>
  <r>
    <n v="978"/>
    <d v="2011-02-13T00:00:00"/>
    <n v="1"/>
    <n v="0"/>
    <n v="2"/>
    <x v="9"/>
    <b v="0"/>
    <n v="0"/>
    <n v="2"/>
    <n v="0.24"/>
    <n v="0.2273"/>
    <n v="0.6"/>
    <n v="0.22389999999999999"/>
    <n v="12"/>
    <n v="35"/>
    <n v="47"/>
    <x v="1"/>
  </r>
  <r>
    <n v="979"/>
    <d v="2011-02-13T00:00:00"/>
    <n v="1"/>
    <n v="0"/>
    <n v="2"/>
    <x v="10"/>
    <b v="0"/>
    <n v="0"/>
    <n v="1"/>
    <n v="0.3"/>
    <n v="0.2727"/>
    <n v="0.45"/>
    <n v="0.32840000000000003"/>
    <n v="19"/>
    <n v="86"/>
    <n v="105"/>
    <x v="1"/>
  </r>
  <r>
    <n v="980"/>
    <d v="2011-02-13T00:00:00"/>
    <n v="1"/>
    <n v="0"/>
    <n v="2"/>
    <x v="11"/>
    <b v="0"/>
    <n v="0"/>
    <n v="1"/>
    <n v="0.32"/>
    <n v="0.28789999999999999"/>
    <n v="0.39"/>
    <n v="0.44779999999999998"/>
    <n v="26"/>
    <n v="86"/>
    <n v="112"/>
    <x v="1"/>
  </r>
  <r>
    <n v="981"/>
    <d v="2011-02-13T00:00:00"/>
    <n v="1"/>
    <n v="0"/>
    <n v="2"/>
    <x v="12"/>
    <b v="0"/>
    <n v="0"/>
    <n v="1"/>
    <n v="0.36"/>
    <n v="0.31819999999999998"/>
    <n v="0.32"/>
    <n v="0.4627"/>
    <n v="58"/>
    <n v="94"/>
    <n v="152"/>
    <x v="1"/>
  </r>
  <r>
    <n v="982"/>
    <d v="2011-02-13T00:00:00"/>
    <n v="1"/>
    <n v="0"/>
    <n v="2"/>
    <x v="13"/>
    <b v="0"/>
    <n v="0"/>
    <n v="1"/>
    <n v="0.38"/>
    <n v="0.39389999999999997"/>
    <n v="0.28999999999999998"/>
    <n v="0.35820000000000002"/>
    <n v="62"/>
    <n v="92"/>
    <n v="154"/>
    <x v="1"/>
  </r>
  <r>
    <n v="983"/>
    <d v="2011-02-13T00:00:00"/>
    <n v="1"/>
    <n v="0"/>
    <n v="2"/>
    <x v="14"/>
    <b v="0"/>
    <n v="0"/>
    <n v="2"/>
    <n v="0.4"/>
    <n v="0.40910000000000002"/>
    <n v="0.3"/>
    <n v="0.41789999999999999"/>
    <n v="51"/>
    <n v="110"/>
    <n v="161"/>
    <x v="1"/>
  </r>
  <r>
    <n v="984"/>
    <d v="2011-02-13T00:00:00"/>
    <n v="1"/>
    <n v="0"/>
    <n v="2"/>
    <x v="15"/>
    <b v="0"/>
    <n v="0"/>
    <n v="2"/>
    <n v="0.4"/>
    <n v="0.40910000000000002"/>
    <n v="0.3"/>
    <n v="0.29849999999999999"/>
    <n v="40"/>
    <n v="122"/>
    <n v="162"/>
    <x v="1"/>
  </r>
  <r>
    <n v="985"/>
    <d v="2011-02-13T00:00:00"/>
    <n v="1"/>
    <n v="0"/>
    <n v="2"/>
    <x v="16"/>
    <b v="0"/>
    <n v="0"/>
    <n v="2"/>
    <n v="0.42"/>
    <n v="0.42420000000000002"/>
    <n v="0.28000000000000003"/>
    <n v="0.32840000000000003"/>
    <n v="28"/>
    <n v="106"/>
    <n v="134"/>
    <x v="1"/>
  </r>
  <r>
    <n v="986"/>
    <d v="2011-02-13T00:00:00"/>
    <n v="1"/>
    <n v="0"/>
    <n v="2"/>
    <x v="17"/>
    <b v="0"/>
    <n v="0"/>
    <n v="1"/>
    <n v="0.42"/>
    <n v="0.42420000000000002"/>
    <n v="0.28000000000000003"/>
    <n v="0.32840000000000003"/>
    <n v="30"/>
    <n v="95"/>
    <n v="125"/>
    <x v="1"/>
  </r>
  <r>
    <n v="987"/>
    <d v="2011-02-13T00:00:00"/>
    <n v="1"/>
    <n v="0"/>
    <n v="2"/>
    <x v="18"/>
    <b v="0"/>
    <n v="0"/>
    <n v="1"/>
    <n v="0.4"/>
    <n v="0.40910000000000002"/>
    <n v="0.32"/>
    <n v="0.29849999999999999"/>
    <n v="17"/>
    <n v="78"/>
    <n v="95"/>
    <x v="1"/>
  </r>
  <r>
    <n v="988"/>
    <d v="2011-02-13T00:00:00"/>
    <n v="1"/>
    <n v="0"/>
    <n v="2"/>
    <x v="19"/>
    <b v="0"/>
    <n v="0"/>
    <n v="1"/>
    <n v="0.4"/>
    <n v="0.40910000000000002"/>
    <n v="0.35"/>
    <n v="0.28360000000000002"/>
    <n v="11"/>
    <n v="50"/>
    <n v="61"/>
    <x v="1"/>
  </r>
  <r>
    <n v="989"/>
    <d v="2011-02-13T00:00:00"/>
    <n v="1"/>
    <n v="0"/>
    <n v="2"/>
    <x v="20"/>
    <b v="0"/>
    <n v="0"/>
    <n v="1"/>
    <n v="0.4"/>
    <n v="0.40910000000000002"/>
    <n v="0.35"/>
    <n v="0.32840000000000003"/>
    <n v="15"/>
    <n v="32"/>
    <n v="47"/>
    <x v="1"/>
  </r>
  <r>
    <n v="990"/>
    <d v="2011-02-13T00:00:00"/>
    <n v="1"/>
    <n v="0"/>
    <n v="2"/>
    <x v="21"/>
    <b v="0"/>
    <n v="0"/>
    <n v="1"/>
    <n v="0.4"/>
    <n v="0.40910000000000002"/>
    <n v="0.35"/>
    <n v="0.35820000000000002"/>
    <n v="6"/>
    <n v="45"/>
    <n v="51"/>
    <x v="1"/>
  </r>
  <r>
    <n v="991"/>
    <d v="2011-02-13T00:00:00"/>
    <n v="1"/>
    <n v="0"/>
    <n v="2"/>
    <x v="22"/>
    <b v="0"/>
    <n v="0"/>
    <n v="1"/>
    <n v="0.4"/>
    <n v="0.40910000000000002"/>
    <n v="0.35"/>
    <n v="0.29849999999999999"/>
    <n v="5"/>
    <n v="31"/>
    <n v="36"/>
    <x v="1"/>
  </r>
  <r>
    <n v="992"/>
    <d v="2011-02-13T00:00:00"/>
    <n v="1"/>
    <n v="0"/>
    <n v="2"/>
    <x v="23"/>
    <b v="0"/>
    <n v="0"/>
    <n v="1"/>
    <n v="0.4"/>
    <n v="0.40910000000000002"/>
    <n v="0.35"/>
    <n v="0.35820000000000002"/>
    <n v="3"/>
    <n v="27"/>
    <n v="30"/>
    <x v="1"/>
  </r>
  <r>
    <n v="993"/>
    <d v="2011-02-14T00:00:00"/>
    <n v="1"/>
    <n v="0"/>
    <n v="2"/>
    <x v="0"/>
    <b v="0"/>
    <n v="1"/>
    <n v="1"/>
    <n v="0.38"/>
    <n v="0.39389999999999997"/>
    <n v="0.37"/>
    <n v="0.35820000000000002"/>
    <n v="3"/>
    <n v="8"/>
    <n v="11"/>
    <x v="2"/>
  </r>
  <r>
    <n v="994"/>
    <d v="2011-02-14T00:00:00"/>
    <n v="1"/>
    <n v="0"/>
    <n v="2"/>
    <x v="1"/>
    <b v="0"/>
    <n v="1"/>
    <n v="1"/>
    <n v="0.38"/>
    <n v="0.39389999999999997"/>
    <n v="0.37"/>
    <n v="0.35820000000000002"/>
    <n v="1"/>
    <n v="6"/>
    <n v="7"/>
    <x v="2"/>
  </r>
  <r>
    <n v="995"/>
    <d v="2011-02-14T00:00:00"/>
    <n v="1"/>
    <n v="0"/>
    <n v="2"/>
    <x v="2"/>
    <b v="0"/>
    <n v="1"/>
    <n v="1"/>
    <n v="0.36"/>
    <n v="0.33329999999999999"/>
    <n v="0.4"/>
    <n v="0.29849999999999999"/>
    <n v="0"/>
    <n v="2"/>
    <n v="2"/>
    <x v="2"/>
  </r>
  <r>
    <n v="996"/>
    <d v="2011-02-14T00:00:00"/>
    <n v="1"/>
    <n v="0"/>
    <n v="2"/>
    <x v="3"/>
    <b v="0"/>
    <n v="1"/>
    <n v="1"/>
    <n v="0.34"/>
    <n v="0.31819999999999998"/>
    <n v="0.46"/>
    <n v="0.22389999999999999"/>
    <n v="1"/>
    <n v="1"/>
    <n v="2"/>
    <x v="2"/>
  </r>
  <r>
    <n v="997"/>
    <d v="2011-02-14T00:00:00"/>
    <n v="1"/>
    <n v="0"/>
    <n v="2"/>
    <x v="4"/>
    <b v="0"/>
    <n v="1"/>
    <n v="1"/>
    <n v="0.32"/>
    <n v="0.30299999999999999"/>
    <n v="0.53"/>
    <n v="0.28360000000000002"/>
    <n v="0"/>
    <n v="2"/>
    <n v="2"/>
    <x v="2"/>
  </r>
  <r>
    <n v="998"/>
    <d v="2011-02-14T00:00:00"/>
    <n v="1"/>
    <n v="0"/>
    <n v="2"/>
    <x v="5"/>
    <b v="0"/>
    <n v="1"/>
    <n v="1"/>
    <n v="0.32"/>
    <n v="0.30299999999999999"/>
    <n v="0.53"/>
    <n v="0.28360000000000002"/>
    <n v="0"/>
    <n v="3"/>
    <n v="3"/>
    <x v="2"/>
  </r>
  <r>
    <n v="999"/>
    <d v="2011-02-14T00:00:00"/>
    <n v="1"/>
    <n v="0"/>
    <n v="2"/>
    <x v="6"/>
    <b v="0"/>
    <n v="1"/>
    <n v="1"/>
    <n v="0.34"/>
    <n v="0.30299999999999999"/>
    <n v="0.46"/>
    <n v="0.29849999999999999"/>
    <n v="1"/>
    <n v="25"/>
    <n v="26"/>
    <x v="2"/>
  </r>
  <r>
    <n v="1000"/>
    <d v="2011-02-14T00:00:00"/>
    <n v="1"/>
    <n v="0"/>
    <n v="2"/>
    <x v="7"/>
    <b v="0"/>
    <n v="1"/>
    <n v="1"/>
    <n v="0.34"/>
    <n v="0.30299999999999999"/>
    <n v="0.46"/>
    <n v="0.29849999999999999"/>
    <n v="2"/>
    <n v="96"/>
    <n v="98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2B5DF-8D1E-49C8-B9DC-FD20E312F790}" name="PivotTable3" cacheId="5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21:U47" firstHeaderRow="1" firstDataRow="2" firstDataCol="1"/>
  <pivotFields count="17">
    <pivotField compact="0" numFmtId="49" outline="0" showAll="0"/>
    <pivotField compact="0" numFmtId="164" outline="0" showAll="0"/>
    <pivotField compact="0" numFmtId="1" outline="0" showAll="0"/>
    <pivotField compact="0" numFmtId="1" outline="0" showAll="0"/>
    <pivotField compact="0" numFmtId="1" outline="0" showAll="0"/>
    <pivotField axis="axisRow" compact="0" numFmtId="1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/>
    <pivotField compact="0" numFmtId="1" outline="0" showAll="0"/>
    <pivotField compact="0" numFmtId="1" outline="0" showAll="0"/>
    <pivotField compact="0" numFmtId="2" outline="0" showAll="0"/>
    <pivotField compact="0" numFmtId="165" outline="0" showAll="0"/>
    <pivotField compact="0" numFmtId="2" outline="0" showAll="0"/>
    <pivotField compact="0" numFmtId="165" outline="0" showAll="0"/>
    <pivotField compact="0" numFmtId="1" outline="0" showAll="0"/>
    <pivotField compact="0" numFmtId="1" outline="0" showAll="0"/>
    <pivotField dataField="1" compact="0" numFmtId="1" outline="0" showAll="0"/>
    <pivotField axis="axisCol" compact="0" outline="0" showAll="0">
      <items count="8">
        <item x="1"/>
        <item x="2"/>
        <item x="3"/>
        <item x="4"/>
        <item x="5"/>
        <item x="6"/>
        <item x="0"/>
        <item t="default"/>
      </items>
    </pivotField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6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cnt" fld="15" subtotal="average" baseField="0" baseItem="0" numFmtId="1"/>
  </dataFields>
  <formats count="10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16" type="button" dataOnly="0" labelOnly="1" outline="0" axis="axisCol" fieldPosition="0"/>
    </format>
    <format dxfId="4">
      <pivotArea type="topRight" dataOnly="0" labelOnly="1" outline="0" fieldPosition="0"/>
    </format>
    <format dxfId="5">
      <pivotArea field="5" type="button" dataOnly="0" labelOnly="1" outline="0" axis="axisRow" fieldPosition="0"/>
    </format>
    <format dxfId="6">
      <pivotArea dataOnly="0" labelOnly="1" outline="0" fieldPosition="0">
        <references count="1">
          <reference field="5" count="0"/>
        </references>
      </pivotArea>
    </format>
    <format dxfId="7">
      <pivotArea dataOnly="0" labelOnly="1" grandRow="1" outline="0" fieldPosition="0"/>
    </format>
    <format dxfId="8">
      <pivotArea dataOnly="0" labelOnly="1" outline="0" fieldPosition="0">
        <references count="1">
          <reference field="16" count="0"/>
        </references>
      </pivotArea>
    </format>
    <format dxfId="9">
      <pivotArea dataOnly="0" labelOnly="1" grandCol="1" outline="0" fieldPosition="0"/>
    </format>
  </formats>
  <conditionalFormats count="2"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24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  <reference field="16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5" count="24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  <reference field="16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CCCBD-7C1D-4C4C-ACC0-0AE63DBB0B6A}">
  <dimension ref="A1:V75"/>
  <sheetViews>
    <sheetView showGridLines="0" tabSelected="1" topLeftCell="A67" workbookViewId="0">
      <selection activeCell="K87" sqref="K87"/>
    </sheetView>
  </sheetViews>
  <sheetFormatPr defaultRowHeight="14.45"/>
  <cols>
    <col min="13" max="13" width="13.7109375" bestFit="1" customWidth="1"/>
    <col min="14" max="14" width="17.28515625" bestFit="1" customWidth="1"/>
    <col min="15" max="15" width="8.140625" bestFit="1" customWidth="1"/>
    <col min="16" max="16" width="8.42578125" bestFit="1" customWidth="1"/>
    <col min="17" max="17" width="11.5703125" bestFit="1" customWidth="1"/>
    <col min="18" max="18" width="9.28515625" bestFit="1" customWidth="1"/>
    <col min="19" max="19" width="6.5703125" bestFit="1" customWidth="1"/>
    <col min="20" max="20" width="9" bestFit="1" customWidth="1"/>
    <col min="21" max="21" width="11.42578125" bestFit="1" customWidth="1"/>
  </cols>
  <sheetData>
    <row r="1" spans="1:21">
      <c r="A1" s="40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8"/>
    </row>
    <row r="2" spans="1:21">
      <c r="A2" s="19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1"/>
    </row>
    <row r="3" spans="1:21" ht="15" thickBot="1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1"/>
    </row>
    <row r="4" spans="1:21">
      <c r="A4" s="41" t="s">
        <v>1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3"/>
    </row>
    <row r="5" spans="1:21">
      <c r="A5" s="44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6"/>
    </row>
    <row r="6" spans="1:21" ht="15" thickBot="1">
      <c r="A6" s="47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9"/>
    </row>
    <row r="9" spans="1:21">
      <c r="A9" s="16" t="s">
        <v>2</v>
      </c>
      <c r="B9" s="17"/>
      <c r="C9" s="17"/>
      <c r="D9" s="18"/>
      <c r="F9" s="10" t="s">
        <v>3</v>
      </c>
      <c r="G9" s="56"/>
      <c r="H9" s="56"/>
      <c r="I9" s="57"/>
      <c r="K9" s="16" t="s">
        <v>4</v>
      </c>
      <c r="L9" s="17"/>
      <c r="M9" s="17"/>
      <c r="N9" s="18"/>
      <c r="P9" s="10" t="s">
        <v>5</v>
      </c>
      <c r="Q9" s="56"/>
      <c r="R9" s="56"/>
      <c r="S9" s="57"/>
    </row>
    <row r="10" spans="1:21" ht="15" thickBot="1">
      <c r="A10" s="19"/>
      <c r="B10" s="20"/>
      <c r="C10" s="20"/>
      <c r="D10" s="21"/>
      <c r="F10" s="58"/>
      <c r="G10" s="59"/>
      <c r="H10" s="59"/>
      <c r="I10" s="60"/>
      <c r="K10" s="19"/>
      <c r="L10" s="20"/>
      <c r="M10" s="20"/>
      <c r="N10" s="21"/>
      <c r="P10" s="58"/>
      <c r="Q10" s="59"/>
      <c r="R10" s="59"/>
      <c r="S10" s="60"/>
    </row>
    <row r="11" spans="1:21">
      <c r="A11" s="50" t="e">
        <f>SUM([1]!Table1[cnt])</f>
        <v>#REF!</v>
      </c>
      <c r="B11" s="51"/>
      <c r="C11" s="51"/>
      <c r="D11" s="52"/>
      <c r="F11" s="50" t="e">
        <f>SUM([1]!Table1[registered])</f>
        <v>#REF!</v>
      </c>
      <c r="G11" s="51"/>
      <c r="H11" s="51"/>
      <c r="I11" s="52"/>
      <c r="K11" s="50" t="e">
        <f>SUM([1]!Table1[casual])</f>
        <v>#REF!</v>
      </c>
      <c r="L11" s="51"/>
      <c r="M11" s="51"/>
      <c r="N11" s="52"/>
      <c r="P11" s="61" t="e">
        <f>ROUND(AVERAGE([1]!Table1[cnt]),0)</f>
        <v>#REF!</v>
      </c>
      <c r="Q11" s="51"/>
      <c r="R11" s="51"/>
      <c r="S11" s="52"/>
    </row>
    <row r="12" spans="1:21" ht="15" thickBot="1">
      <c r="A12" s="53"/>
      <c r="B12" s="54"/>
      <c r="C12" s="54"/>
      <c r="D12" s="55"/>
      <c r="F12" s="53"/>
      <c r="G12" s="54"/>
      <c r="H12" s="54"/>
      <c r="I12" s="55"/>
      <c r="K12" s="53"/>
      <c r="L12" s="54"/>
      <c r="M12" s="54"/>
      <c r="N12" s="55"/>
      <c r="P12" s="53"/>
      <c r="Q12" s="54"/>
      <c r="R12" s="54"/>
      <c r="S12" s="55"/>
    </row>
    <row r="15" spans="1:21">
      <c r="A15" s="10" t="s">
        <v>6</v>
      </c>
      <c r="B15" s="11"/>
      <c r="C15" s="11"/>
      <c r="D15" s="12"/>
      <c r="F15" s="16" t="s">
        <v>7</v>
      </c>
      <c r="G15" s="17"/>
      <c r="H15" s="17"/>
      <c r="I15" s="18"/>
      <c r="K15" s="16" t="s">
        <v>8</v>
      </c>
      <c r="L15" s="17"/>
      <c r="M15" s="17"/>
      <c r="N15" s="18"/>
      <c r="P15" s="16" t="s">
        <v>9</v>
      </c>
      <c r="Q15" s="17"/>
      <c r="R15" s="17"/>
      <c r="S15" s="18"/>
    </row>
    <row r="16" spans="1:21" ht="15" thickBot="1">
      <c r="A16" s="13"/>
      <c r="B16" s="14"/>
      <c r="C16" s="14"/>
      <c r="D16" s="15"/>
      <c r="F16" s="19"/>
      <c r="G16" s="20"/>
      <c r="H16" s="20"/>
      <c r="I16" s="21"/>
      <c r="K16" s="19"/>
      <c r="L16" s="20"/>
      <c r="M16" s="20"/>
      <c r="N16" s="21"/>
      <c r="P16" s="19"/>
      <c r="Q16" s="20"/>
      <c r="R16" s="20"/>
      <c r="S16" s="21"/>
    </row>
    <row r="17" spans="1:21">
      <c r="A17" s="22">
        <v>0.70833333333333337</v>
      </c>
      <c r="B17" s="23"/>
      <c r="C17" s="23"/>
      <c r="D17" s="24"/>
      <c r="F17" s="28" t="s">
        <v>10</v>
      </c>
      <c r="G17" s="23"/>
      <c r="H17" s="23"/>
      <c r="I17" s="24"/>
      <c r="K17" s="28" t="s">
        <v>11</v>
      </c>
      <c r="L17" s="29"/>
      <c r="M17" s="29"/>
      <c r="N17" s="30"/>
      <c r="P17" s="34" t="e">
        <f>SUM([1]!Table1[registered])/SUM([1]!Table1[cnt])</f>
        <v>#REF!</v>
      </c>
      <c r="Q17" s="35"/>
      <c r="R17" s="35"/>
      <c r="S17" s="36"/>
    </row>
    <row r="18" spans="1:21" ht="15" thickBot="1">
      <c r="A18" s="25"/>
      <c r="B18" s="26"/>
      <c r="C18" s="26"/>
      <c r="D18" s="27"/>
      <c r="F18" s="25"/>
      <c r="G18" s="26"/>
      <c r="H18" s="26"/>
      <c r="I18" s="27"/>
      <c r="K18" s="31"/>
      <c r="L18" s="32"/>
      <c r="M18" s="32"/>
      <c r="N18" s="33"/>
      <c r="P18" s="37"/>
      <c r="Q18" s="38"/>
      <c r="R18" s="38"/>
      <c r="S18" s="39"/>
    </row>
    <row r="21" spans="1:21">
      <c r="M21" s="3" t="s">
        <v>12</v>
      </c>
      <c r="N21" s="3" t="s">
        <v>13</v>
      </c>
      <c r="O21" s="2"/>
      <c r="P21" s="2"/>
      <c r="Q21" s="2"/>
      <c r="R21" s="2"/>
      <c r="S21" s="2"/>
      <c r="T21" s="2"/>
      <c r="U21" s="2"/>
    </row>
    <row r="22" spans="1:21">
      <c r="M22" s="3" t="s">
        <v>14</v>
      </c>
      <c r="N22" s="2" t="s">
        <v>15</v>
      </c>
      <c r="O22" s="2" t="s">
        <v>16</v>
      </c>
      <c r="P22" s="2" t="s">
        <v>17</v>
      </c>
      <c r="Q22" s="2" t="s">
        <v>18</v>
      </c>
      <c r="R22" s="2" t="s">
        <v>19</v>
      </c>
      <c r="S22" s="2" t="s">
        <v>10</v>
      </c>
      <c r="T22" s="2" t="s">
        <v>20</v>
      </c>
      <c r="U22" s="2" t="s">
        <v>21</v>
      </c>
    </row>
    <row r="23" spans="1:21">
      <c r="M23" s="1">
        <v>0</v>
      </c>
      <c r="N23" s="1">
        <v>30.571428571428573</v>
      </c>
      <c r="O23" s="1">
        <v>9.5714285714285712</v>
      </c>
      <c r="P23" s="1">
        <v>8.8000000000000007</v>
      </c>
      <c r="Q23" s="1">
        <v>8.6666666666666661</v>
      </c>
      <c r="R23" s="1">
        <v>11.8</v>
      </c>
      <c r="S23" s="1">
        <v>14.666666666666666</v>
      </c>
      <c r="T23" s="1">
        <v>25.571428571428573</v>
      </c>
      <c r="U23" s="1">
        <v>16.348837209302324</v>
      </c>
    </row>
    <row r="24" spans="1:21">
      <c r="M24" s="1">
        <v>1</v>
      </c>
      <c r="N24" s="1">
        <v>23.142857142857142</v>
      </c>
      <c r="O24" s="1">
        <v>5.5714285714285712</v>
      </c>
      <c r="P24" s="1">
        <v>3.4</v>
      </c>
      <c r="Q24" s="1">
        <v>5.666666666666667</v>
      </c>
      <c r="R24" s="1">
        <v>4.5999999999999996</v>
      </c>
      <c r="S24" s="1">
        <v>5.833333333333333</v>
      </c>
      <c r="T24" s="1">
        <v>21.428571428571427</v>
      </c>
      <c r="U24" s="1">
        <v>10.697674418604651</v>
      </c>
    </row>
    <row r="25" spans="1:21">
      <c r="M25" s="1">
        <v>2</v>
      </c>
      <c r="N25" s="1">
        <v>15</v>
      </c>
      <c r="O25" s="1">
        <v>3.4</v>
      </c>
      <c r="P25" s="1">
        <v>2</v>
      </c>
      <c r="Q25" s="1">
        <v>3.8333333333333335</v>
      </c>
      <c r="R25" s="1">
        <v>2.2000000000000002</v>
      </c>
      <c r="S25" s="1">
        <v>1.6666666666666667</v>
      </c>
      <c r="T25" s="1">
        <v>16.857142857142858</v>
      </c>
      <c r="U25" s="1">
        <v>7.1707317073170733</v>
      </c>
    </row>
    <row r="26" spans="1:21">
      <c r="M26" s="1">
        <v>3</v>
      </c>
      <c r="N26" s="1">
        <v>9</v>
      </c>
      <c r="O26" s="1">
        <v>1.5</v>
      </c>
      <c r="P26" s="1">
        <v>1.5</v>
      </c>
      <c r="Q26" s="1">
        <v>1.5</v>
      </c>
      <c r="R26" s="1">
        <v>1.6666666666666667</v>
      </c>
      <c r="S26" s="1">
        <v>1</v>
      </c>
      <c r="T26" s="1">
        <v>9.1428571428571423</v>
      </c>
      <c r="U26" s="1">
        <v>4.870967741935484</v>
      </c>
    </row>
    <row r="27" spans="1:21">
      <c r="M27" s="1">
        <v>4</v>
      </c>
      <c r="N27" s="1">
        <v>1.6666666666666667</v>
      </c>
      <c r="O27" s="1">
        <v>2</v>
      </c>
      <c r="P27" s="1">
        <v>2</v>
      </c>
      <c r="Q27" s="1">
        <v>1.6666666666666667</v>
      </c>
      <c r="R27" s="1">
        <v>1.75</v>
      </c>
      <c r="S27" s="1">
        <v>1</v>
      </c>
      <c r="T27" s="1">
        <v>3.5714285714285716</v>
      </c>
      <c r="U27" s="1">
        <v>2.15625</v>
      </c>
    </row>
    <row r="28" spans="1:21">
      <c r="M28" s="1">
        <v>5</v>
      </c>
      <c r="N28" s="1">
        <v>2</v>
      </c>
      <c r="O28" s="1">
        <v>4.7142857142857144</v>
      </c>
      <c r="P28" s="1">
        <v>4.8</v>
      </c>
      <c r="Q28" s="1">
        <v>4.333333333333333</v>
      </c>
      <c r="R28" s="1">
        <v>4.2</v>
      </c>
      <c r="S28" s="1">
        <v>5.5</v>
      </c>
      <c r="T28" s="1">
        <v>3.4</v>
      </c>
      <c r="U28" s="1">
        <v>4.2051282051282053</v>
      </c>
    </row>
    <row r="29" spans="1:21">
      <c r="M29" s="1">
        <v>6</v>
      </c>
      <c r="N29" s="1">
        <v>1.8333333333333333</v>
      </c>
      <c r="O29" s="1">
        <v>24.857142857142858</v>
      </c>
      <c r="P29" s="1">
        <v>32</v>
      </c>
      <c r="Q29" s="1">
        <v>25</v>
      </c>
      <c r="R29" s="1">
        <v>32.799999999999997</v>
      </c>
      <c r="S29" s="1">
        <v>24.333333333333332</v>
      </c>
      <c r="T29" s="1">
        <v>2.4285714285714284</v>
      </c>
      <c r="U29" s="1">
        <v>19.571428571428573</v>
      </c>
    </row>
    <row r="30" spans="1:21">
      <c r="M30" s="1">
        <v>7</v>
      </c>
      <c r="N30" s="1">
        <v>3.7142857142857144</v>
      </c>
      <c r="O30" s="1">
        <v>71.857142857142861</v>
      </c>
      <c r="P30" s="1">
        <v>90.6</v>
      </c>
      <c r="Q30" s="1">
        <v>68.333333333333329</v>
      </c>
      <c r="R30" s="1">
        <v>90.8</v>
      </c>
      <c r="S30" s="1">
        <v>73.833333333333329</v>
      </c>
      <c r="T30" s="1">
        <v>7.1428571428571432</v>
      </c>
      <c r="U30" s="1">
        <v>54.395348837209305</v>
      </c>
    </row>
    <row r="31" spans="1:21">
      <c r="M31" s="1">
        <v>8</v>
      </c>
      <c r="N31" s="1">
        <v>14.571428571428571</v>
      </c>
      <c r="O31" s="1">
        <v>161.16666666666666</v>
      </c>
      <c r="P31" s="1">
        <v>202.4</v>
      </c>
      <c r="Q31" s="1">
        <v>157.66666666666666</v>
      </c>
      <c r="R31" s="1">
        <v>207.2</v>
      </c>
      <c r="S31" s="1">
        <v>196.33333333333334</v>
      </c>
      <c r="T31" s="1">
        <v>21</v>
      </c>
      <c r="U31" s="1">
        <v>128.28571428571428</v>
      </c>
    </row>
    <row r="32" spans="1:21">
      <c r="M32" s="1">
        <v>9</v>
      </c>
      <c r="N32" s="1">
        <v>32.714285714285715</v>
      </c>
      <c r="O32" s="1">
        <v>93.5</v>
      </c>
      <c r="P32" s="1">
        <v>125</v>
      </c>
      <c r="Q32" s="1">
        <v>101.5</v>
      </c>
      <c r="R32" s="1">
        <v>131.80000000000001</v>
      </c>
      <c r="S32" s="1">
        <v>130.83333333333334</v>
      </c>
      <c r="T32" s="1">
        <v>29.142857142857142</v>
      </c>
      <c r="U32" s="1">
        <v>87.428571428571431</v>
      </c>
    </row>
    <row r="33" spans="13:21">
      <c r="M33" s="1">
        <v>10</v>
      </c>
      <c r="N33" s="1">
        <v>71</v>
      </c>
      <c r="O33" s="1">
        <v>49.333333333333336</v>
      </c>
      <c r="P33" s="1">
        <v>49.2</v>
      </c>
      <c r="Q33" s="1">
        <v>48.5</v>
      </c>
      <c r="R33" s="1">
        <v>45.4</v>
      </c>
      <c r="S33" s="1">
        <v>52.333333333333336</v>
      </c>
      <c r="T33" s="1">
        <v>54.571428571428569</v>
      </c>
      <c r="U33" s="1">
        <v>53.642857142857146</v>
      </c>
    </row>
    <row r="34" spans="13:21">
      <c r="M34" s="1">
        <v>11</v>
      </c>
      <c r="N34" s="1">
        <v>85.571428571428569</v>
      </c>
      <c r="O34" s="1">
        <v>47.666666666666664</v>
      </c>
      <c r="P34" s="1">
        <v>50.8</v>
      </c>
      <c r="Q34" s="1">
        <v>44.5</v>
      </c>
      <c r="R34" s="1">
        <v>54.6</v>
      </c>
      <c r="S34" s="1">
        <v>56.166666666666664</v>
      </c>
      <c r="T34" s="1">
        <v>68.285714285714292</v>
      </c>
      <c r="U34" s="1">
        <v>59.38095238095238</v>
      </c>
    </row>
    <row r="35" spans="13:21">
      <c r="M35" s="1">
        <v>12</v>
      </c>
      <c r="N35" s="1">
        <v>117</v>
      </c>
      <c r="O35" s="1">
        <v>65</v>
      </c>
      <c r="P35" s="1">
        <v>60.666666666666664</v>
      </c>
      <c r="Q35" s="1">
        <v>62.833333333333336</v>
      </c>
      <c r="R35" s="1">
        <v>71.599999999999994</v>
      </c>
      <c r="S35" s="1">
        <v>64</v>
      </c>
      <c r="T35" s="1">
        <v>84.428571428571431</v>
      </c>
      <c r="U35" s="1">
        <v>76.348837209302332</v>
      </c>
    </row>
    <row r="36" spans="13:21">
      <c r="M36" s="1">
        <v>13</v>
      </c>
      <c r="N36" s="1">
        <v>110.71428571428571</v>
      </c>
      <c r="O36" s="1">
        <v>64.333333333333329</v>
      </c>
      <c r="P36" s="1">
        <v>61</v>
      </c>
      <c r="Q36" s="1">
        <v>64.833333333333329</v>
      </c>
      <c r="R36" s="1">
        <v>72.2</v>
      </c>
      <c r="S36" s="1">
        <v>74.333333333333329</v>
      </c>
      <c r="T36" s="1">
        <v>93.285714285714292</v>
      </c>
      <c r="U36" s="1">
        <v>78.511627906976742</v>
      </c>
    </row>
    <row r="37" spans="13:21">
      <c r="M37" s="1">
        <v>14</v>
      </c>
      <c r="N37" s="1">
        <v>110.85714285714286</v>
      </c>
      <c r="O37" s="1">
        <v>66.833333333333329</v>
      </c>
      <c r="P37" s="1">
        <v>56.666666666666664</v>
      </c>
      <c r="Q37" s="1">
        <v>56.333333333333336</v>
      </c>
      <c r="R37" s="1">
        <v>57.6</v>
      </c>
      <c r="S37" s="1">
        <v>64.833333333333329</v>
      </c>
      <c r="T37" s="1">
        <v>95.428571428571431</v>
      </c>
      <c r="U37" s="1">
        <v>74.418604651162795</v>
      </c>
    </row>
    <row r="38" spans="13:21">
      <c r="M38" s="1">
        <v>15</v>
      </c>
      <c r="N38" s="1">
        <v>114.14285714285714</v>
      </c>
      <c r="O38" s="1">
        <v>60.166666666666664</v>
      </c>
      <c r="P38" s="1">
        <v>55.666666666666664</v>
      </c>
      <c r="Q38" s="1">
        <v>62.666666666666664</v>
      </c>
      <c r="R38" s="1">
        <v>60.4</v>
      </c>
      <c r="S38" s="1">
        <v>68.333333333333329</v>
      </c>
      <c r="T38" s="1">
        <v>110</v>
      </c>
      <c r="U38" s="1">
        <v>77.95348837209302</v>
      </c>
    </row>
    <row r="39" spans="13:21">
      <c r="M39" s="1">
        <v>16</v>
      </c>
      <c r="N39" s="1">
        <v>106.57142857142857</v>
      </c>
      <c r="O39" s="1">
        <v>83.666666666666671</v>
      </c>
      <c r="P39" s="1">
        <v>80.5</v>
      </c>
      <c r="Q39" s="1">
        <v>79.833333333333329</v>
      </c>
      <c r="R39" s="1">
        <v>72.833333333333329</v>
      </c>
      <c r="S39" s="1">
        <v>96.333333333333329</v>
      </c>
      <c r="T39" s="1">
        <v>100.42857142857143</v>
      </c>
      <c r="U39" s="1">
        <v>89.272727272727266</v>
      </c>
    </row>
    <row r="40" spans="13:21">
      <c r="M40" s="1">
        <v>17</v>
      </c>
      <c r="N40" s="1">
        <v>87.142857142857139</v>
      </c>
      <c r="O40" s="1">
        <v>161.16666666666666</v>
      </c>
      <c r="P40" s="1">
        <v>174.5</v>
      </c>
      <c r="Q40" s="1">
        <v>151.33333333333334</v>
      </c>
      <c r="R40" s="1">
        <v>162.16666666666666</v>
      </c>
      <c r="S40" s="1">
        <v>178.66666666666666</v>
      </c>
      <c r="T40" s="1">
        <v>84.571428571428569</v>
      </c>
      <c r="U40" s="1">
        <v>140.20454545454547</v>
      </c>
    </row>
    <row r="41" spans="13:21">
      <c r="M41" s="1">
        <v>18</v>
      </c>
      <c r="N41" s="1">
        <v>65</v>
      </c>
      <c r="O41" s="1">
        <v>148</v>
      </c>
      <c r="P41" s="1">
        <v>159.16666666666666</v>
      </c>
      <c r="Q41" s="1">
        <v>163.80000000000001</v>
      </c>
      <c r="R41" s="1">
        <v>150.5</v>
      </c>
      <c r="S41" s="1">
        <v>136.66666666666666</v>
      </c>
      <c r="T41" s="1">
        <v>63.285714285714285</v>
      </c>
      <c r="U41" s="1">
        <v>122.86046511627907</v>
      </c>
    </row>
    <row r="42" spans="13:21">
      <c r="M42" s="1">
        <v>19</v>
      </c>
      <c r="N42" s="1">
        <v>45.571428571428569</v>
      </c>
      <c r="O42" s="1">
        <v>101.66666666666667</v>
      </c>
      <c r="P42" s="1">
        <v>102.83333333333333</v>
      </c>
      <c r="Q42" s="1">
        <v>101.2</v>
      </c>
      <c r="R42" s="1">
        <v>108.33333333333333</v>
      </c>
      <c r="S42" s="1">
        <v>96</v>
      </c>
      <c r="T42" s="1">
        <v>54.714285714285715</v>
      </c>
      <c r="U42" s="1">
        <v>85.139534883720927</v>
      </c>
    </row>
    <row r="43" spans="13:21">
      <c r="M43" s="1">
        <v>20</v>
      </c>
      <c r="N43" s="1">
        <v>36.857142857142854</v>
      </c>
      <c r="O43" s="1">
        <v>67.666666666666671</v>
      </c>
      <c r="P43" s="1">
        <v>69.666666666666671</v>
      </c>
      <c r="Q43" s="1">
        <v>76</v>
      </c>
      <c r="R43" s="1">
        <v>87.333333333333329</v>
      </c>
      <c r="S43" s="1">
        <v>61.333333333333336</v>
      </c>
      <c r="T43" s="1">
        <v>43.142857142857146</v>
      </c>
      <c r="U43" s="1">
        <v>61.767441860465119</v>
      </c>
    </row>
    <row r="44" spans="13:21">
      <c r="M44" s="1">
        <v>21</v>
      </c>
      <c r="N44" s="1">
        <v>30</v>
      </c>
      <c r="O44" s="1">
        <v>51.666666666666664</v>
      </c>
      <c r="P44" s="1">
        <v>45.333333333333336</v>
      </c>
      <c r="Q44" s="1">
        <v>61</v>
      </c>
      <c r="R44" s="1">
        <v>51.5</v>
      </c>
      <c r="S44" s="1">
        <v>46.666666666666664</v>
      </c>
      <c r="T44" s="1">
        <v>44.285714285714285</v>
      </c>
      <c r="U44" s="1">
        <v>46.418604651162788</v>
      </c>
    </row>
    <row r="45" spans="13:21">
      <c r="M45" s="1">
        <v>22</v>
      </c>
      <c r="N45" s="1">
        <v>27.428571428571427</v>
      </c>
      <c r="O45" s="1">
        <v>27.166666666666668</v>
      </c>
      <c r="P45" s="1">
        <v>35.833333333333336</v>
      </c>
      <c r="Q45" s="1">
        <v>44</v>
      </c>
      <c r="R45" s="1">
        <v>42.833333333333336</v>
      </c>
      <c r="S45" s="1">
        <v>36.833333333333336</v>
      </c>
      <c r="T45" s="1">
        <v>34.285714285714285</v>
      </c>
      <c r="U45" s="1">
        <v>35.069767441860463</v>
      </c>
    </row>
    <row r="46" spans="13:21">
      <c r="M46" s="1">
        <v>23</v>
      </c>
      <c r="N46" s="1">
        <v>19.142857142857142</v>
      </c>
      <c r="O46" s="1">
        <v>16.666666666666668</v>
      </c>
      <c r="P46" s="1">
        <v>19.666666666666668</v>
      </c>
      <c r="Q46" s="1">
        <v>27.2</v>
      </c>
      <c r="R46" s="1">
        <v>26.166666666666668</v>
      </c>
      <c r="S46" s="1">
        <v>29.333333333333332</v>
      </c>
      <c r="T46" s="1">
        <v>37.428571428571431</v>
      </c>
      <c r="U46" s="1">
        <v>25.186046511627907</v>
      </c>
    </row>
    <row r="47" spans="13:21">
      <c r="M47" s="1" t="s">
        <v>21</v>
      </c>
      <c r="N47" s="1">
        <v>49.518292682926827</v>
      </c>
      <c r="O47" s="1">
        <v>56.711409395973156</v>
      </c>
      <c r="P47" s="1">
        <v>66.00787401574803</v>
      </c>
      <c r="Q47" s="1">
        <v>61.44274809160305</v>
      </c>
      <c r="R47" s="1">
        <v>67.664000000000001</v>
      </c>
      <c r="S47" s="1">
        <v>65.905797101449281</v>
      </c>
      <c r="T47" s="1">
        <v>46.674698795180724</v>
      </c>
      <c r="U47" s="1">
        <v>58.304000000000002</v>
      </c>
    </row>
    <row r="74" spans="1:22">
      <c r="A74" s="4" t="s">
        <v>22</v>
      </c>
      <c r="B74" s="5"/>
      <c r="C74" s="5"/>
      <c r="D74" s="5"/>
      <c r="E74" s="5"/>
      <c r="F74" s="5"/>
      <c r="G74" s="5"/>
      <c r="H74" s="5"/>
      <c r="I74" s="5"/>
      <c r="J74" s="6"/>
      <c r="M74" s="4" t="s">
        <v>23</v>
      </c>
      <c r="N74" s="5"/>
      <c r="O74" s="5"/>
      <c r="P74" s="5"/>
      <c r="Q74" s="5"/>
      <c r="R74" s="5"/>
      <c r="S74" s="5"/>
      <c r="T74" s="5"/>
      <c r="U74" s="5"/>
      <c r="V74" s="6"/>
    </row>
    <row r="75" spans="1:22" ht="15" thickBot="1">
      <c r="A75" s="7"/>
      <c r="B75" s="8"/>
      <c r="C75" s="8"/>
      <c r="D75" s="8"/>
      <c r="E75" s="8"/>
      <c r="F75" s="8"/>
      <c r="G75" s="8"/>
      <c r="H75" s="8"/>
      <c r="I75" s="8"/>
      <c r="J75" s="9"/>
      <c r="M75" s="7"/>
      <c r="N75" s="8"/>
      <c r="O75" s="8"/>
      <c r="P75" s="8"/>
      <c r="Q75" s="8"/>
      <c r="R75" s="8"/>
      <c r="S75" s="8"/>
      <c r="T75" s="8"/>
      <c r="U75" s="8"/>
      <c r="V75" s="9"/>
    </row>
  </sheetData>
  <mergeCells count="20">
    <mergeCell ref="A1:U3"/>
    <mergeCell ref="A4:U6"/>
    <mergeCell ref="A9:D10"/>
    <mergeCell ref="A11:D12"/>
    <mergeCell ref="F9:I10"/>
    <mergeCell ref="F11:I12"/>
    <mergeCell ref="K9:N10"/>
    <mergeCell ref="K11:N12"/>
    <mergeCell ref="P9:S10"/>
    <mergeCell ref="P11:S12"/>
    <mergeCell ref="A74:J75"/>
    <mergeCell ref="M74:V75"/>
    <mergeCell ref="A15:D16"/>
    <mergeCell ref="F15:I16"/>
    <mergeCell ref="K15:N16"/>
    <mergeCell ref="P15:S16"/>
    <mergeCell ref="A17:D18"/>
    <mergeCell ref="F17:I18"/>
    <mergeCell ref="K17:N18"/>
    <mergeCell ref="P17:S18"/>
  </mergeCells>
  <conditionalFormatting pivot="1" sqref="N23:T46">
    <cfRule type="colorScale" priority="2">
      <colorScale>
        <cfvo type="min"/>
        <cfvo type="max"/>
        <color rgb="FFF8696B"/>
        <color rgb="FFFCFCFF"/>
      </colorScale>
    </cfRule>
  </conditionalFormatting>
  <conditionalFormatting pivot="1" sqref="N23:T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Bhavdeep Kaur</dc:creator>
  <cp:keywords/>
  <dc:description/>
  <cp:lastModifiedBy/>
  <cp:revision/>
  <dcterms:created xsi:type="dcterms:W3CDTF">2026-07-26T18:11:41Z</dcterms:created>
  <dcterms:modified xsi:type="dcterms:W3CDTF">2026-07-26T18:13:51Z</dcterms:modified>
  <cp:category/>
  <cp:contentStatus/>
</cp:coreProperties>
</file>